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SPC\Documents\"/>
    </mc:Choice>
  </mc:AlternateContent>
  <xr:revisionPtr revIDLastSave="0" documentId="13_ncr:1_{9C25F8E0-D304-4403-8B48-FF5A8D25DD5B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Ortools" sheetId="1" r:id="rId1"/>
    <sheet name="Nguyên" sheetId="2" r:id="rId2"/>
    <sheet name="Na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87" i="2" l="1"/>
  <c r="AJ87" i="2"/>
  <c r="AI87" i="2"/>
  <c r="AH87" i="2"/>
  <c r="AF87" i="2"/>
  <c r="AE87" i="2"/>
  <c r="AD87" i="2"/>
  <c r="Z87" i="2"/>
  <c r="X87" i="2"/>
  <c r="AG87" i="2" s="1"/>
  <c r="AK86" i="2"/>
  <c r="AJ86" i="2"/>
  <c r="AI86" i="2"/>
  <c r="AH86" i="2"/>
  <c r="AF86" i="2"/>
  <c r="AE86" i="2"/>
  <c r="AD86" i="2"/>
  <c r="Z86" i="2"/>
  <c r="X86" i="2"/>
  <c r="AG86" i="2" s="1"/>
  <c r="AK85" i="2"/>
  <c r="AJ85" i="2"/>
  <c r="AI85" i="2"/>
  <c r="AH85" i="2"/>
  <c r="AF85" i="2"/>
  <c r="AE85" i="2"/>
  <c r="AD85" i="2"/>
  <c r="Z85" i="2"/>
  <c r="X85" i="2"/>
  <c r="AG85" i="2" s="1"/>
  <c r="AK84" i="2"/>
  <c r="AJ84" i="2"/>
  <c r="AI84" i="2"/>
  <c r="AH84" i="2"/>
  <c r="AF84" i="2"/>
  <c r="AE84" i="2"/>
  <c r="AD84" i="2"/>
  <c r="Z84" i="2"/>
  <c r="AG84" i="2" s="1"/>
  <c r="X84" i="2"/>
  <c r="AK83" i="2"/>
  <c r="AJ83" i="2"/>
  <c r="AI83" i="2"/>
  <c r="AH83" i="2"/>
  <c r="AF83" i="2"/>
  <c r="AE83" i="2"/>
  <c r="AD83" i="2"/>
  <c r="Z83" i="2"/>
  <c r="AG83" i="2" s="1"/>
  <c r="X83" i="2"/>
  <c r="AK82" i="2"/>
  <c r="AJ82" i="2"/>
  <c r="AI82" i="2"/>
  <c r="AH82" i="2"/>
  <c r="AG82" i="2"/>
  <c r="AF82" i="2"/>
  <c r="AE82" i="2"/>
  <c r="AD82" i="2"/>
  <c r="Z82" i="2"/>
  <c r="X82" i="2"/>
  <c r="AK81" i="2"/>
  <c r="AJ81" i="2"/>
  <c r="AI81" i="2"/>
  <c r="AH81" i="2"/>
  <c r="AG81" i="2"/>
  <c r="AF81" i="2"/>
  <c r="AE81" i="2"/>
  <c r="AD81" i="2"/>
  <c r="Z81" i="2"/>
  <c r="X81" i="2"/>
  <c r="AK80" i="2"/>
  <c r="AJ80" i="2"/>
  <c r="AI80" i="2"/>
  <c r="AH80" i="2"/>
  <c r="AF80" i="2"/>
  <c r="AE80" i="2"/>
  <c r="AD80" i="2"/>
  <c r="Z80" i="2"/>
  <c r="AG80" i="2" s="1"/>
  <c r="X80" i="2"/>
  <c r="AK79" i="2"/>
  <c r="AJ79" i="2"/>
  <c r="AI79" i="2"/>
  <c r="AH79" i="2"/>
  <c r="AF79" i="2"/>
  <c r="AE79" i="2"/>
  <c r="AD79" i="2"/>
  <c r="Z79" i="2"/>
  <c r="AG79" i="2" s="1"/>
  <c r="X79" i="2"/>
  <c r="AK78" i="2"/>
  <c r="AJ78" i="2"/>
  <c r="AI78" i="2"/>
  <c r="AH78" i="2"/>
  <c r="AG78" i="2"/>
  <c r="AF78" i="2"/>
  <c r="AE78" i="2"/>
  <c r="AD78" i="2"/>
  <c r="Z78" i="2"/>
  <c r="X78" i="2"/>
  <c r="AK77" i="2"/>
  <c r="AJ77" i="2"/>
  <c r="AI77" i="2"/>
  <c r="AH77" i="2"/>
  <c r="AG77" i="2"/>
  <c r="AF77" i="2"/>
  <c r="AE77" i="2"/>
  <c r="AD77" i="2"/>
  <c r="Z77" i="2"/>
  <c r="X77" i="2"/>
  <c r="AK76" i="2"/>
  <c r="AJ76" i="2"/>
  <c r="AI76" i="2"/>
  <c r="AH76" i="2"/>
  <c r="AF76" i="2"/>
  <c r="AE76" i="2"/>
  <c r="AD76" i="2"/>
  <c r="Z76" i="2"/>
  <c r="AG76" i="2" s="1"/>
  <c r="X76" i="2"/>
  <c r="AK75" i="2"/>
  <c r="AJ75" i="2"/>
  <c r="AI75" i="2"/>
  <c r="AH75" i="2"/>
  <c r="AF75" i="2"/>
  <c r="AE75" i="2"/>
  <c r="AD75" i="2"/>
  <c r="Z75" i="2"/>
  <c r="AG75" i="2" s="1"/>
  <c r="X75" i="2"/>
  <c r="AK74" i="2"/>
  <c r="AJ74" i="2"/>
  <c r="AI74" i="2"/>
  <c r="AH74" i="2"/>
  <c r="AG74" i="2"/>
  <c r="AF74" i="2"/>
  <c r="AE74" i="2"/>
  <c r="AD74" i="2"/>
  <c r="Z74" i="2"/>
  <c r="X74" i="2"/>
  <c r="AK73" i="2"/>
  <c r="AJ73" i="2"/>
  <c r="AI73" i="2"/>
  <c r="AH73" i="2"/>
  <c r="AG73" i="2"/>
  <c r="AF73" i="2"/>
  <c r="AE73" i="2"/>
  <c r="AD73" i="2"/>
  <c r="Z73" i="2"/>
  <c r="X73" i="2"/>
  <c r="AK72" i="2"/>
  <c r="AJ72" i="2"/>
  <c r="AI72" i="2"/>
  <c r="AH72" i="2"/>
  <c r="AF72" i="2"/>
  <c r="AE72" i="2"/>
  <c r="AD72" i="2"/>
  <c r="Z72" i="2"/>
  <c r="AG72" i="2" s="1"/>
  <c r="X72" i="2"/>
  <c r="AK71" i="2"/>
  <c r="AJ71" i="2"/>
  <c r="AI71" i="2"/>
  <c r="AH71" i="2"/>
  <c r="AF71" i="2"/>
  <c r="AE71" i="2"/>
  <c r="AD71" i="2"/>
  <c r="Z71" i="2"/>
  <c r="AG71" i="2" s="1"/>
  <c r="X71" i="2"/>
  <c r="AK70" i="2"/>
  <c r="AJ70" i="2"/>
  <c r="AI70" i="2"/>
  <c r="AH70" i="2"/>
  <c r="AG70" i="2"/>
  <c r="AF70" i="2"/>
  <c r="AE70" i="2"/>
  <c r="AD70" i="2"/>
  <c r="Z70" i="2"/>
  <c r="X70" i="2"/>
  <c r="AK69" i="2"/>
  <c r="AJ69" i="2"/>
  <c r="AI69" i="2"/>
  <c r="AH69" i="2"/>
  <c r="AG69" i="2"/>
  <c r="AF69" i="2"/>
  <c r="AE69" i="2"/>
  <c r="AD69" i="2"/>
  <c r="Z69" i="2"/>
  <c r="X69" i="2"/>
  <c r="AK68" i="2"/>
  <c r="AJ68" i="2"/>
  <c r="AI68" i="2"/>
  <c r="AH68" i="2"/>
  <c r="AF68" i="2"/>
  <c r="AE68" i="2"/>
  <c r="AD68" i="2"/>
  <c r="Z68" i="2"/>
  <c r="AG68" i="2" s="1"/>
  <c r="X68" i="2"/>
  <c r="AK67" i="2"/>
  <c r="AJ67" i="2"/>
  <c r="AI67" i="2"/>
  <c r="AH67" i="2"/>
  <c r="AF67" i="2"/>
  <c r="AE67" i="2"/>
  <c r="AD67" i="2"/>
  <c r="Z67" i="2"/>
  <c r="AG67" i="2" s="1"/>
  <c r="X67" i="2"/>
  <c r="AK66" i="2"/>
  <c r="AJ66" i="2"/>
  <c r="AI66" i="2"/>
  <c r="AH66" i="2"/>
  <c r="AG66" i="2"/>
  <c r="AF66" i="2"/>
  <c r="AE66" i="2"/>
  <c r="AD66" i="2"/>
  <c r="Z66" i="2"/>
  <c r="X66" i="2"/>
  <c r="AK65" i="2"/>
  <c r="AJ65" i="2"/>
  <c r="AI65" i="2"/>
  <c r="AH65" i="2"/>
  <c r="AG65" i="2"/>
  <c r="AF65" i="2"/>
  <c r="AE65" i="2"/>
  <c r="AD65" i="2"/>
  <c r="Z65" i="2"/>
  <c r="X65" i="2"/>
  <c r="AK64" i="2"/>
  <c r="AJ64" i="2"/>
  <c r="AI64" i="2"/>
  <c r="AH64" i="2"/>
  <c r="AF64" i="2"/>
  <c r="AE64" i="2"/>
  <c r="AD64" i="2"/>
  <c r="Z64" i="2"/>
  <c r="AG64" i="2" s="1"/>
  <c r="X64" i="2"/>
  <c r="AK63" i="2"/>
  <c r="AJ63" i="2"/>
  <c r="AI63" i="2"/>
  <c r="AH63" i="2"/>
  <c r="AF63" i="2"/>
  <c r="AE63" i="2"/>
  <c r="AD63" i="2"/>
  <c r="Z63" i="2"/>
  <c r="AG63" i="2" s="1"/>
  <c r="X63" i="2"/>
  <c r="AK62" i="2"/>
  <c r="AJ62" i="2"/>
  <c r="AI62" i="2"/>
  <c r="AH62" i="2"/>
  <c r="AG62" i="2"/>
  <c r="AF62" i="2"/>
  <c r="AE62" i="2"/>
  <c r="AD62" i="2"/>
  <c r="Z62" i="2"/>
  <c r="X62" i="2"/>
  <c r="AK61" i="2"/>
  <c r="AJ61" i="2"/>
  <c r="AI61" i="2"/>
  <c r="AH61" i="2"/>
  <c r="AG61" i="2"/>
  <c r="AF61" i="2"/>
  <c r="AE61" i="2"/>
  <c r="AD61" i="2"/>
  <c r="Z61" i="2"/>
  <c r="X61" i="2"/>
  <c r="AK60" i="2"/>
  <c r="AJ60" i="2"/>
  <c r="AI60" i="2"/>
  <c r="AH60" i="2"/>
  <c r="AF60" i="2"/>
  <c r="AE60" i="2"/>
  <c r="AD60" i="2"/>
  <c r="Z60" i="2"/>
  <c r="AG60" i="2" s="1"/>
  <c r="X60" i="2"/>
  <c r="AK59" i="2"/>
  <c r="AJ59" i="2"/>
  <c r="AI59" i="2"/>
  <c r="AH59" i="2"/>
  <c r="AF59" i="2"/>
  <c r="AE59" i="2"/>
  <c r="AD59" i="2"/>
  <c r="Z59" i="2"/>
  <c r="AG59" i="2" s="1"/>
  <c r="X59" i="2"/>
  <c r="AK58" i="2"/>
  <c r="AJ58" i="2"/>
  <c r="AI58" i="2"/>
  <c r="AH58" i="2"/>
  <c r="AG58" i="2"/>
  <c r="AF58" i="2"/>
  <c r="AE58" i="2"/>
  <c r="AD58" i="2"/>
  <c r="Z58" i="2"/>
  <c r="X58" i="2"/>
  <c r="AK57" i="2"/>
  <c r="AJ57" i="2"/>
  <c r="AI57" i="2"/>
  <c r="AH57" i="2"/>
  <c r="AG57" i="2"/>
  <c r="AF57" i="2"/>
  <c r="AE57" i="2"/>
  <c r="AD57" i="2"/>
  <c r="Z57" i="2"/>
  <c r="X57" i="2"/>
  <c r="AK56" i="2"/>
  <c r="AJ56" i="2"/>
  <c r="AI56" i="2"/>
  <c r="AH56" i="2"/>
  <c r="AF56" i="2"/>
  <c r="AE56" i="2"/>
  <c r="AD56" i="2"/>
  <c r="Z56" i="2"/>
  <c r="AG56" i="2" s="1"/>
  <c r="X56" i="2"/>
  <c r="AK55" i="2"/>
  <c r="AJ55" i="2"/>
  <c r="AI55" i="2"/>
  <c r="AH55" i="2"/>
  <c r="AF55" i="2"/>
  <c r="AE55" i="2"/>
  <c r="AD55" i="2"/>
  <c r="Z55" i="2"/>
  <c r="AG55" i="2" s="1"/>
  <c r="X55" i="2"/>
  <c r="AK54" i="2"/>
  <c r="AJ54" i="2"/>
  <c r="AI54" i="2"/>
  <c r="AH54" i="2"/>
  <c r="AG54" i="2"/>
  <c r="AF54" i="2"/>
  <c r="AE54" i="2"/>
  <c r="AD54" i="2"/>
  <c r="Z54" i="2"/>
  <c r="X54" i="2"/>
  <c r="AK53" i="2"/>
  <c r="AJ53" i="2"/>
  <c r="AI53" i="2"/>
  <c r="AH53" i="2"/>
  <c r="AG53" i="2"/>
  <c r="AF53" i="2"/>
  <c r="AE53" i="2"/>
  <c r="AD53" i="2"/>
  <c r="Z53" i="2"/>
  <c r="X53" i="2"/>
  <c r="AK52" i="2"/>
  <c r="AJ52" i="2"/>
  <c r="AI52" i="2"/>
  <c r="AH52" i="2"/>
  <c r="AF52" i="2"/>
  <c r="AE52" i="2"/>
  <c r="AD52" i="2"/>
  <c r="Z52" i="2"/>
  <c r="AG52" i="2" s="1"/>
  <c r="X52" i="2"/>
  <c r="AK51" i="2"/>
  <c r="AJ51" i="2"/>
  <c r="AI51" i="2"/>
  <c r="AH51" i="2"/>
  <c r="AF51" i="2"/>
  <c r="AE51" i="2"/>
  <c r="AD51" i="2"/>
  <c r="Z51" i="2"/>
  <c r="X51" i="2"/>
  <c r="AG51" i="2" s="1"/>
  <c r="AK50" i="2"/>
  <c r="AJ50" i="2"/>
  <c r="AI50" i="2"/>
  <c r="AH50" i="2"/>
  <c r="AG50" i="2"/>
  <c r="AF50" i="2"/>
  <c r="AE50" i="2"/>
  <c r="AD50" i="2"/>
  <c r="Z50" i="2"/>
  <c r="X50" i="2"/>
</calcChain>
</file>

<file path=xl/sharedStrings.xml><?xml version="1.0" encoding="utf-8"?>
<sst xmlns="http://schemas.openxmlformats.org/spreadsheetml/2006/main" count="4526" uniqueCount="2206">
  <si>
    <t>Test</t>
  </si>
  <si>
    <t>CP</t>
  </si>
  <si>
    <t>Sol</t>
  </si>
  <si>
    <t>Time ( 1st )</t>
  </si>
  <si>
    <t>Time (2nd)</t>
  </si>
  <si>
    <t>Time (3rd)</t>
  </si>
  <si>
    <t>Time (4th)</t>
  </si>
  <si>
    <t>Time (5th)</t>
  </si>
  <si>
    <t>Time(6th)</t>
  </si>
  <si>
    <t>Time(7th)</t>
  </si>
  <si>
    <t>Time(8th)</t>
  </si>
  <si>
    <t>Time(9th)</t>
  </si>
  <si>
    <t>Time(10th)</t>
  </si>
  <si>
    <t>AvgTime(Cp)</t>
  </si>
  <si>
    <t>Time</t>
  </si>
  <si>
    <t>N/A</t>
  </si>
  <si>
    <t>greedy.c</t>
  </si>
  <si>
    <t>ls.c</t>
  </si>
  <si>
    <t>ils.c</t>
  </si>
  <si>
    <t>sa.c</t>
  </si>
  <si>
    <t>ts.c</t>
  </si>
  <si>
    <t>aco.c</t>
  </si>
  <si>
    <t>dsatur.c</t>
  </si>
  <si>
    <t>hs.c</t>
  </si>
  <si>
    <t>bs.c</t>
  </si>
  <si>
    <t>Lần 1</t>
  </si>
  <si>
    <t>Lần 2</t>
  </si>
  <si>
    <t>Lần 3</t>
  </si>
  <si>
    <t xml:space="preserve">Avg Time </t>
  </si>
  <si>
    <t>1</t>
  </si>
  <si>
    <t>5</t>
  </si>
  <si>
    <t>0.17979640</t>
  </si>
  <si>
    <t>0.15507190</t>
  </si>
  <si>
    <t>0.14218110</t>
  </si>
  <si>
    <t>0.76652620</t>
  </si>
  <si>
    <t>0.70898850</t>
  </si>
  <si>
    <t>0.65575300</t>
  </si>
  <si>
    <t>0.81965070</t>
  </si>
  <si>
    <t>0.82740470</t>
  </si>
  <si>
    <t>0.77388970</t>
  </si>
  <si>
    <t>0.28683350</t>
  </si>
  <si>
    <t>0.25247140</t>
  </si>
  <si>
    <t>0.24624820</t>
  </si>
  <si>
    <t>0.15406910</t>
  </si>
  <si>
    <t>0.11818490</t>
  </si>
  <si>
    <t>0.08104850</t>
  </si>
  <si>
    <t>0.00478370</t>
  </si>
  <si>
    <t>0.00480050</t>
  </si>
  <si>
    <t>0.00376210</t>
  </si>
  <si>
    <t>0.00022520</t>
  </si>
  <si>
    <t>0.00018240</t>
  </si>
  <si>
    <t>0.00016750</t>
  </si>
  <si>
    <t>0.41922360</t>
  </si>
  <si>
    <t>0.38996570</t>
  </si>
  <si>
    <t>0.37306780</t>
  </si>
  <si>
    <t>0.00661650</t>
  </si>
  <si>
    <t>0.00662080</t>
  </si>
  <si>
    <t>0.00859350</t>
  </si>
  <si>
    <t>2</t>
  </si>
  <si>
    <t>3</t>
  </si>
  <si>
    <t>0.14590330</t>
  </si>
  <si>
    <t>0.14678250</t>
  </si>
  <si>
    <t>0.14945960</t>
  </si>
  <si>
    <t>0.63678380</t>
  </si>
  <si>
    <t>0.65696920</t>
  </si>
  <si>
    <t>0.66794830</t>
  </si>
  <si>
    <t>0.73134120</t>
  </si>
  <si>
    <t>0.72866790</t>
  </si>
  <si>
    <t>0.73909840</t>
  </si>
  <si>
    <t>4</t>
  </si>
  <si>
    <t>0.25477710</t>
  </si>
  <si>
    <t>0.25750680</t>
  </si>
  <si>
    <t>0.25325770</t>
  </si>
  <si>
    <t>0.07231960</t>
  </si>
  <si>
    <t>0.08686850</t>
  </si>
  <si>
    <t>0.08866130</t>
  </si>
  <si>
    <t>0.00555770</t>
  </si>
  <si>
    <t>0.00544240</t>
  </si>
  <si>
    <t>0.00436890</t>
  </si>
  <si>
    <t>0.00018410</t>
  </si>
  <si>
    <t>0.00021280</t>
  </si>
  <si>
    <t>0.00018580</t>
  </si>
  <si>
    <t>0.64218540</t>
  </si>
  <si>
    <t>0.64734670</t>
  </si>
  <si>
    <t>0.64563430</t>
  </si>
  <si>
    <t>0.06229580</t>
  </si>
  <si>
    <t>0.05367840</t>
  </si>
  <si>
    <t>0.06071420</t>
  </si>
  <si>
    <t>0.14779900</t>
  </si>
  <si>
    <t>0.14503920</t>
  </si>
  <si>
    <t>0.14526150</t>
  </si>
  <si>
    <t>0.67900300</t>
  </si>
  <si>
    <t>0.66104120</t>
  </si>
  <si>
    <t>0.67634180</t>
  </si>
  <si>
    <t>0.74460530</t>
  </si>
  <si>
    <t>1.09499650</t>
  </si>
  <si>
    <t>0.82616060</t>
  </si>
  <si>
    <t>0.27564810</t>
  </si>
  <si>
    <t>0.27354660</t>
  </si>
  <si>
    <t>0.27276940</t>
  </si>
  <si>
    <t>0.08966260</t>
  </si>
  <si>
    <t>0.07040630</t>
  </si>
  <si>
    <t>0.07021690</t>
  </si>
  <si>
    <t>0.00472410</t>
  </si>
  <si>
    <t>0.00539540</t>
  </si>
  <si>
    <t>0.00436320</t>
  </si>
  <si>
    <t>0.00026070</t>
  </si>
  <si>
    <t>0.00029340</t>
  </si>
  <si>
    <t>0.55827270</t>
  </si>
  <si>
    <t>0.55370370</t>
  </si>
  <si>
    <t>0.55322320</t>
  </si>
  <si>
    <t>0.06451930</t>
  </si>
  <si>
    <t>0.06042680</t>
  </si>
  <si>
    <t>0.05887930</t>
  </si>
  <si>
    <t>0.14667220</t>
  </si>
  <si>
    <t>0.14846450</t>
  </si>
  <si>
    <t>0.14483280</t>
  </si>
  <si>
    <t>0.66679300</t>
  </si>
  <si>
    <t>0.69733960</t>
  </si>
  <si>
    <t>0.77401110</t>
  </si>
  <si>
    <t>0.72013620</t>
  </si>
  <si>
    <t>0.92381360</t>
  </si>
  <si>
    <t>0.76595120</t>
  </si>
  <si>
    <t>0.29113680</t>
  </si>
  <si>
    <t>0.29186480</t>
  </si>
  <si>
    <t>0.29345650</t>
  </si>
  <si>
    <t>0.06867510</t>
  </si>
  <si>
    <t>0.07082210</t>
  </si>
  <si>
    <t>0.05978350</t>
  </si>
  <si>
    <t>0.00511190</t>
  </si>
  <si>
    <t>0.00631260</t>
  </si>
  <si>
    <t>0.00573860</t>
  </si>
  <si>
    <t>0.00034270</t>
  </si>
  <si>
    <t>0.00028300</t>
  </si>
  <si>
    <t>0.00026090</t>
  </si>
  <si>
    <t>0.70670020</t>
  </si>
  <si>
    <t>0.70020750</t>
  </si>
  <si>
    <t>0.70086360</t>
  </si>
  <si>
    <t>0.08195280</t>
  </si>
  <si>
    <t>0.08065220</t>
  </si>
  <si>
    <t>0.08056570</t>
  </si>
  <si>
    <t>0.14782290</t>
  </si>
  <si>
    <t>0.14852630</t>
  </si>
  <si>
    <t>0.14753430</t>
  </si>
  <si>
    <t>0.75260520</t>
  </si>
  <si>
    <t>0.74426250</t>
  </si>
  <si>
    <t>0.69979390</t>
  </si>
  <si>
    <t>0.76989340</t>
  </si>
  <si>
    <t>0.72559950</t>
  </si>
  <si>
    <t>0.71628270</t>
  </si>
  <si>
    <t>0.31693220</t>
  </si>
  <si>
    <t>0.31442820</t>
  </si>
  <si>
    <t>0.32207530</t>
  </si>
  <si>
    <t>0.07824200</t>
  </si>
  <si>
    <t>0.06336780</t>
  </si>
  <si>
    <t>0.07192050</t>
  </si>
  <si>
    <t>0.00531010</t>
  </si>
  <si>
    <t>0.00519980</t>
  </si>
  <si>
    <t>0.00515260</t>
  </si>
  <si>
    <t>6</t>
  </si>
  <si>
    <t>0.00031000</t>
  </si>
  <si>
    <t>0.00030360</t>
  </si>
  <si>
    <t>0.00034110</t>
  </si>
  <si>
    <t>0.48486680</t>
  </si>
  <si>
    <t>0.48547070</t>
  </si>
  <si>
    <t>0.48326330</t>
  </si>
  <si>
    <t>0.08735390</t>
  </si>
  <si>
    <t>0.09018490</t>
  </si>
  <si>
    <t>0.08684480</t>
  </si>
  <si>
    <t>0.14737450</t>
  </si>
  <si>
    <t>0.14400460</t>
  </si>
  <si>
    <t>0.14628430</t>
  </si>
  <si>
    <t>0.69872520</t>
  </si>
  <si>
    <t>0.68145690</t>
  </si>
  <si>
    <t>0.68870950</t>
  </si>
  <si>
    <t>0.71713560</t>
  </si>
  <si>
    <t>0.71475440</t>
  </si>
  <si>
    <t>0.71670660</t>
  </si>
  <si>
    <t>0.34296410</t>
  </si>
  <si>
    <t>0.34121020</t>
  </si>
  <si>
    <t>0.33828040</t>
  </si>
  <si>
    <t>0.06807070</t>
  </si>
  <si>
    <t>0.07637280</t>
  </si>
  <si>
    <t>0.06258850</t>
  </si>
  <si>
    <t>0.00585050</t>
  </si>
  <si>
    <t>0.00589930</t>
  </si>
  <si>
    <t>0.00604350</t>
  </si>
  <si>
    <t>0.00033900</t>
  </si>
  <si>
    <t>0.00033800</t>
  </si>
  <si>
    <t>0.00034030</t>
  </si>
  <si>
    <t>0.50759990</t>
  </si>
  <si>
    <t>0.50244450</t>
  </si>
  <si>
    <t>0.50875970</t>
  </si>
  <si>
    <t>0.09731110</t>
  </si>
  <si>
    <t>0.10057210</t>
  </si>
  <si>
    <t>0.09906950</t>
  </si>
  <si>
    <t>7</t>
  </si>
  <si>
    <t>0.14755440</t>
  </si>
  <si>
    <t>0.14689080</t>
  </si>
  <si>
    <t>0.15077020</t>
  </si>
  <si>
    <t>0.74044790</t>
  </si>
  <si>
    <t>0.78267120</t>
  </si>
  <si>
    <t>0.71254420</t>
  </si>
  <si>
    <t>0.74762520</t>
  </si>
  <si>
    <t>0.73781580</t>
  </si>
  <si>
    <t>0.73947820</t>
  </si>
  <si>
    <t>0.36226320</t>
  </si>
  <si>
    <t>0.36180650</t>
  </si>
  <si>
    <t>0.36490680</t>
  </si>
  <si>
    <t>8</t>
  </si>
  <si>
    <t>0.08997950</t>
  </si>
  <si>
    <t>0.05356320</t>
  </si>
  <si>
    <t>0.07569610</t>
  </si>
  <si>
    <t>0.00624140</t>
  </si>
  <si>
    <t>0.00631880</t>
  </si>
  <si>
    <t>0.00627810</t>
  </si>
  <si>
    <t>0.00040990</t>
  </si>
  <si>
    <t>0.00039580</t>
  </si>
  <si>
    <t>0.00040070</t>
  </si>
  <si>
    <t>0.65601900</t>
  </si>
  <si>
    <t>0.64763990</t>
  </si>
  <si>
    <t>0.65015990</t>
  </si>
  <si>
    <t>0.11461880</t>
  </si>
  <si>
    <t>0.11847130</t>
  </si>
  <si>
    <t>0.11299190</t>
  </si>
  <si>
    <t>0.14708260</t>
  </si>
  <si>
    <t>0.15125900</t>
  </si>
  <si>
    <t>0.15244050</t>
  </si>
  <si>
    <t>0.70516950</t>
  </si>
  <si>
    <t>0.74715690</t>
  </si>
  <si>
    <t>0.71038940</t>
  </si>
  <si>
    <t>0.76807410</t>
  </si>
  <si>
    <t>0.73165450</t>
  </si>
  <si>
    <t>0.73052380</t>
  </si>
  <si>
    <t>0.36710310</t>
  </si>
  <si>
    <t>0.36940760</t>
  </si>
  <si>
    <t>0.36423450</t>
  </si>
  <si>
    <t>0.07418090</t>
  </si>
  <si>
    <t>0.06252640</t>
  </si>
  <si>
    <t>0.06700860</t>
  </si>
  <si>
    <t>0.00831820</t>
  </si>
  <si>
    <t>0.00767560</t>
  </si>
  <si>
    <t>0.00783860</t>
  </si>
  <si>
    <t>0.00042500</t>
  </si>
  <si>
    <t>0.00037500</t>
  </si>
  <si>
    <t>0.00037760</t>
  </si>
  <si>
    <t>0.55976230</t>
  </si>
  <si>
    <t>0.56180340</t>
  </si>
  <si>
    <t>0.55708100</t>
  </si>
  <si>
    <t>0.13652580</t>
  </si>
  <si>
    <t>0.14028250</t>
  </si>
  <si>
    <t>0.13414240</t>
  </si>
  <si>
    <t>9</t>
  </si>
  <si>
    <t>0.15275470</t>
  </si>
  <si>
    <t>0.14829550</t>
  </si>
  <si>
    <t>0.14761820</t>
  </si>
  <si>
    <t>0.73730690</t>
  </si>
  <si>
    <t>0.75632490</t>
  </si>
  <si>
    <t>0.71470130</t>
  </si>
  <si>
    <t>0.73314710</t>
  </si>
  <si>
    <t>0.72109500</t>
  </si>
  <si>
    <t>0.71405230</t>
  </si>
  <si>
    <t>0.38887900</t>
  </si>
  <si>
    <t>0.38896470</t>
  </si>
  <si>
    <t>0.38264770</t>
  </si>
  <si>
    <t>0.06446760</t>
  </si>
  <si>
    <t>0.05793230</t>
  </si>
  <si>
    <t>0.07208150</t>
  </si>
  <si>
    <t>0.00823570</t>
  </si>
  <si>
    <t>0.00819690</t>
  </si>
  <si>
    <t>0.00844520</t>
  </si>
  <si>
    <t>0.00041210</t>
  </si>
  <si>
    <t>0.00045960</t>
  </si>
  <si>
    <t>0.00047480</t>
  </si>
  <si>
    <t>0.58292830</t>
  </si>
  <si>
    <t>0.59300930</t>
  </si>
  <si>
    <t>0.58682040</t>
  </si>
  <si>
    <t>0.11756850</t>
  </si>
  <si>
    <t>0.12300220</t>
  </si>
  <si>
    <t>0.11972730</t>
  </si>
  <si>
    <t>10</t>
  </si>
  <si>
    <t>0.15218360</t>
  </si>
  <si>
    <t>0.14841180</t>
  </si>
  <si>
    <t>0.15076840</t>
  </si>
  <si>
    <t>0.72536570</t>
  </si>
  <si>
    <t>0.71533600</t>
  </si>
  <si>
    <t>0.73611680</t>
  </si>
  <si>
    <t>0.73919160</t>
  </si>
  <si>
    <t>0.73557770</t>
  </si>
  <si>
    <t>0.73603890</t>
  </si>
  <si>
    <t>0.41972120</t>
  </si>
  <si>
    <t>0.41265870</t>
  </si>
  <si>
    <t>0.40263570</t>
  </si>
  <si>
    <t>12</t>
  </si>
  <si>
    <t>0.06765650</t>
  </si>
  <si>
    <t>0.06847240</t>
  </si>
  <si>
    <t>0.06857610</t>
  </si>
  <si>
    <t>0.00925140</t>
  </si>
  <si>
    <t>0.00921280</t>
  </si>
  <si>
    <t>0.00895020</t>
  </si>
  <si>
    <t>0.00047580</t>
  </si>
  <si>
    <t>0.00042730</t>
  </si>
  <si>
    <t>0.00043700</t>
  </si>
  <si>
    <t>0.61922000</t>
  </si>
  <si>
    <t>0.62558080</t>
  </si>
  <si>
    <t>0.61645700</t>
  </si>
  <si>
    <t>0.08076230</t>
  </si>
  <si>
    <t>0.08099570</t>
  </si>
  <si>
    <t>0.08168990</t>
  </si>
  <si>
    <t>11</t>
  </si>
  <si>
    <t>0.15499230</t>
  </si>
  <si>
    <t>0.15596520</t>
  </si>
  <si>
    <t>0.15133640</t>
  </si>
  <si>
    <t>0.71800070</t>
  </si>
  <si>
    <t>0.69074640</t>
  </si>
  <si>
    <t>0.69344080</t>
  </si>
  <si>
    <t>0.74057840</t>
  </si>
  <si>
    <t>0.71648230</t>
  </si>
  <si>
    <t>0.73501160</t>
  </si>
  <si>
    <t>0.41657950</t>
  </si>
  <si>
    <t>0.41927960</t>
  </si>
  <si>
    <t>0.42687070</t>
  </si>
  <si>
    <t>13</t>
  </si>
  <si>
    <t>0.07115480</t>
  </si>
  <si>
    <t>0.05885370</t>
  </si>
  <si>
    <t>0.06782460</t>
  </si>
  <si>
    <t>0.01121940</t>
  </si>
  <si>
    <t>0.01049890</t>
  </si>
  <si>
    <t>0.01183230</t>
  </si>
  <si>
    <t>0.00044840</t>
  </si>
  <si>
    <t>0.00044590</t>
  </si>
  <si>
    <t>0.00045420</t>
  </si>
  <si>
    <t>0.65430300</t>
  </si>
  <si>
    <t>0.65523300</t>
  </si>
  <si>
    <t>0.65279260</t>
  </si>
  <si>
    <t>0.10060820</t>
  </si>
  <si>
    <t>0.09733860</t>
  </si>
  <si>
    <t>0.09836390</t>
  </si>
  <si>
    <t>0.15384950</t>
  </si>
  <si>
    <t>0.16669720</t>
  </si>
  <si>
    <t>0.15335540</t>
  </si>
  <si>
    <t>0.69511870</t>
  </si>
  <si>
    <t>0.72414390</t>
  </si>
  <si>
    <t>0.69999770</t>
  </si>
  <si>
    <t>0.74447150</t>
  </si>
  <si>
    <t>0.74294370</t>
  </si>
  <si>
    <t>0.75340470</t>
  </si>
  <si>
    <t>0.41957740</t>
  </si>
  <si>
    <t>0.41640030</t>
  </si>
  <si>
    <t>0.42425090</t>
  </si>
  <si>
    <t>0.08245170</t>
  </si>
  <si>
    <t>0.06471400</t>
  </si>
  <si>
    <t>14</t>
  </si>
  <si>
    <t>0.07662850</t>
  </si>
  <si>
    <t>0.01109610</t>
  </si>
  <si>
    <t>0.01109140</t>
  </si>
  <si>
    <t>0.01292460</t>
  </si>
  <si>
    <t>0.00054090</t>
  </si>
  <si>
    <t>0.00053310</t>
  </si>
  <si>
    <t>0.00047930</t>
  </si>
  <si>
    <t>0.67459610</t>
  </si>
  <si>
    <t>0.67374290</t>
  </si>
  <si>
    <t>0.67554070</t>
  </si>
  <si>
    <t>0.09130100</t>
  </si>
  <si>
    <t>0.09888300</t>
  </si>
  <si>
    <t>0.09635190</t>
  </si>
  <si>
    <t>0.15978980</t>
  </si>
  <si>
    <t>0.15371550</t>
  </si>
  <si>
    <t>0.14690420</t>
  </si>
  <si>
    <t>0.68935200</t>
  </si>
  <si>
    <t>0.68429320</t>
  </si>
  <si>
    <t>0.68445680</t>
  </si>
  <si>
    <t>0.71080470</t>
  </si>
  <si>
    <t>0.72407370</t>
  </si>
  <si>
    <t>0.72075210</t>
  </si>
  <si>
    <t>0.42797310</t>
  </si>
  <si>
    <t>0.42272750</t>
  </si>
  <si>
    <t>0.43050190</t>
  </si>
  <si>
    <t>0.05858900</t>
  </si>
  <si>
    <t>15</t>
  </si>
  <si>
    <t>0.07907300</t>
  </si>
  <si>
    <t>16</t>
  </si>
  <si>
    <t>0.05846320</t>
  </si>
  <si>
    <t>0.01617480</t>
  </si>
  <si>
    <t>0.01489680</t>
  </si>
  <si>
    <t>0.01585070</t>
  </si>
  <si>
    <t>0.00050070</t>
  </si>
  <si>
    <t>0.00052120</t>
  </si>
  <si>
    <t>0.00058260</t>
  </si>
  <si>
    <t>1.07465590</t>
  </si>
  <si>
    <t>1.07589280</t>
  </si>
  <si>
    <t>1.06399260</t>
  </si>
  <si>
    <t>0.11818520</t>
  </si>
  <si>
    <t>0.11425910</t>
  </si>
  <si>
    <t>0.11462470</t>
  </si>
  <si>
    <t>0.15153620</t>
  </si>
  <si>
    <t>0.15630690</t>
  </si>
  <si>
    <t>0.15509520</t>
  </si>
  <si>
    <t>0.69623660</t>
  </si>
  <si>
    <t>0.69668070</t>
  </si>
  <si>
    <t>0.69863320</t>
  </si>
  <si>
    <t>0.74679890</t>
  </si>
  <si>
    <t>0.72847060</t>
  </si>
  <si>
    <t>0.73524250</t>
  </si>
  <si>
    <t>0.43681040</t>
  </si>
  <si>
    <t>0.43615440</t>
  </si>
  <si>
    <t>0.43661550</t>
  </si>
  <si>
    <t>0.06498150</t>
  </si>
  <si>
    <t>0.07884550</t>
  </si>
  <si>
    <t>0.07339620</t>
  </si>
  <si>
    <t>0.01875450</t>
  </si>
  <si>
    <t>0.01695180</t>
  </si>
  <si>
    <t>0.01739920</t>
  </si>
  <si>
    <t>0.00066050</t>
  </si>
  <si>
    <t>0.00057270</t>
  </si>
  <si>
    <t>0.00058820</t>
  </si>
  <si>
    <t>0.75589410</t>
  </si>
  <si>
    <t>0.74662220</t>
  </si>
  <si>
    <t>0.74446440</t>
  </si>
  <si>
    <t>0.18431290</t>
  </si>
  <si>
    <t>0.19103020</t>
  </si>
  <si>
    <t>0.19005090</t>
  </si>
  <si>
    <t>0.15446110</t>
  </si>
  <si>
    <t>0.15149550</t>
  </si>
  <si>
    <t>0.15371590</t>
  </si>
  <si>
    <t>0.71683240</t>
  </si>
  <si>
    <t>0.70629470</t>
  </si>
  <si>
    <t>0.69589970</t>
  </si>
  <si>
    <t>0.72702360</t>
  </si>
  <si>
    <t>0.75296160</t>
  </si>
  <si>
    <t>0.73470310</t>
  </si>
  <si>
    <t>0.45494020</t>
  </si>
  <si>
    <t>0.45532480</t>
  </si>
  <si>
    <t>0.45033890</t>
  </si>
  <si>
    <t>0.05929870</t>
  </si>
  <si>
    <t>0.07087430</t>
  </si>
  <si>
    <t>17</t>
  </si>
  <si>
    <t>0.06665990</t>
  </si>
  <si>
    <t>0.01672060</t>
  </si>
  <si>
    <t>0.02179100</t>
  </si>
  <si>
    <t>0.01997130</t>
  </si>
  <si>
    <t>0.00059030</t>
  </si>
  <si>
    <t>0.00057660</t>
  </si>
  <si>
    <t>0.00057720</t>
  </si>
  <si>
    <t>0.88958680</t>
  </si>
  <si>
    <t>0.87892740</t>
  </si>
  <si>
    <t>0.87887060</t>
  </si>
  <si>
    <t>0.16360980</t>
  </si>
  <si>
    <t>0.16470390</t>
  </si>
  <si>
    <t>0.16141350</t>
  </si>
  <si>
    <t>0.17253570</t>
  </si>
  <si>
    <t>0.17279530</t>
  </si>
  <si>
    <t>0.17971350</t>
  </si>
  <si>
    <t>0.79977150</t>
  </si>
  <si>
    <t>0.79646610</t>
  </si>
  <si>
    <t>0.78968560</t>
  </si>
  <si>
    <t>0.85369970</t>
  </si>
  <si>
    <t>0.85249310</t>
  </si>
  <si>
    <t>0.87765880</t>
  </si>
  <si>
    <t>0.60792420</t>
  </si>
  <si>
    <t>0.60333070</t>
  </si>
  <si>
    <t>0.60975640</t>
  </si>
  <si>
    <t>0.07087250</t>
  </si>
  <si>
    <t>0.07399550</t>
  </si>
  <si>
    <t>0.09298910</t>
  </si>
  <si>
    <t>0.25974700</t>
  </si>
  <si>
    <t>0.29183780</t>
  </si>
  <si>
    <t>0.19252490</t>
  </si>
  <si>
    <t>0.00154350</t>
  </si>
  <si>
    <t>0.00161240</t>
  </si>
  <si>
    <t>0.00155580</t>
  </si>
  <si>
    <t>1.62989160</t>
  </si>
  <si>
    <t>1.62591170</t>
  </si>
  <si>
    <t>1.62434210</t>
  </si>
  <si>
    <t>1.40735850</t>
  </si>
  <si>
    <t>1.41299130</t>
  </si>
  <si>
    <t>1.40377590</t>
  </si>
  <si>
    <t>0.18780050</t>
  </si>
  <si>
    <t>0.18439230</t>
  </si>
  <si>
    <t>0.18340160</t>
  </si>
  <si>
    <t>0.81097230</t>
  </si>
  <si>
    <t>0.79093450</t>
  </si>
  <si>
    <t>0.79224190</t>
  </si>
  <si>
    <t>0.85491140</t>
  </si>
  <si>
    <t>0.87251780</t>
  </si>
  <si>
    <t>0.86367440</t>
  </si>
  <si>
    <t>0.60686210</t>
  </si>
  <si>
    <t>0.60094080</t>
  </si>
  <si>
    <t>0.61458330</t>
  </si>
  <si>
    <t>0.08799390</t>
  </si>
  <si>
    <t>18</t>
  </si>
  <si>
    <t>0.09430570</t>
  </si>
  <si>
    <t>19</t>
  </si>
  <si>
    <t>0.05650810</t>
  </si>
  <si>
    <t>0.20299520</t>
  </si>
  <si>
    <t>0.20975490</t>
  </si>
  <si>
    <t>0.21069730</t>
  </si>
  <si>
    <t>0.00155140</t>
  </si>
  <si>
    <t>0.00161200</t>
  </si>
  <si>
    <t>0.00177200</t>
  </si>
  <si>
    <t>1.75754980</t>
  </si>
  <si>
    <t>1.75569140</t>
  </si>
  <si>
    <t>1.76027350</t>
  </si>
  <si>
    <t>1.73170390</t>
  </si>
  <si>
    <t>1.71494630</t>
  </si>
  <si>
    <t>1.70513370</t>
  </si>
  <si>
    <t>0.17934780</t>
  </si>
  <si>
    <t>0.17770850</t>
  </si>
  <si>
    <t>0.18226980</t>
  </si>
  <si>
    <t>0.82666600</t>
  </si>
  <si>
    <t>0.84601170</t>
  </si>
  <si>
    <t>0.82165800</t>
  </si>
  <si>
    <t>0.88519890</t>
  </si>
  <si>
    <t>0.88262440</t>
  </si>
  <si>
    <t>0.86172110</t>
  </si>
  <si>
    <t>0.60519040</t>
  </si>
  <si>
    <t>0.60852540</t>
  </si>
  <si>
    <t>0.61432540</t>
  </si>
  <si>
    <t>0.08123630</t>
  </si>
  <si>
    <t>23</t>
  </si>
  <si>
    <t>0.06005150</t>
  </si>
  <si>
    <t>22</t>
  </si>
  <si>
    <t>0.07288650</t>
  </si>
  <si>
    <t>0.21892950</t>
  </si>
  <si>
    <t>0.22562980</t>
  </si>
  <si>
    <t>0.22457380</t>
  </si>
  <si>
    <t>0.00153430</t>
  </si>
  <si>
    <t>0.00157040</t>
  </si>
  <si>
    <t>0.00170660</t>
  </si>
  <si>
    <t>1.67743180</t>
  </si>
  <si>
    <t>1.67680200</t>
  </si>
  <si>
    <t>1.67455420</t>
  </si>
  <si>
    <t>1.77906560</t>
  </si>
  <si>
    <t>1.76933460</t>
  </si>
  <si>
    <t>1.76295840</t>
  </si>
  <si>
    <t>0.17983410</t>
  </si>
  <si>
    <t>0.17904850</t>
  </si>
  <si>
    <t>0.17502620</t>
  </si>
  <si>
    <t>0.81924510</t>
  </si>
  <si>
    <t>0.81782400</t>
  </si>
  <si>
    <t>0.84511330</t>
  </si>
  <si>
    <t>0.85544750</t>
  </si>
  <si>
    <t>0.87899400</t>
  </si>
  <si>
    <t>0.89747730</t>
  </si>
  <si>
    <t>0.63381220</t>
  </si>
  <si>
    <t>0.63740440</t>
  </si>
  <si>
    <t>0.62856740</t>
  </si>
  <si>
    <t>27</t>
  </si>
  <si>
    <t>0.07027430</t>
  </si>
  <si>
    <t>0.07734880</t>
  </si>
  <si>
    <t>25</t>
  </si>
  <si>
    <t>0.06284320</t>
  </si>
  <si>
    <t>0.23829270</t>
  </si>
  <si>
    <t>0.23435300</t>
  </si>
  <si>
    <t>0.22972370</t>
  </si>
  <si>
    <t>0.00161940</t>
  </si>
  <si>
    <t>0.00164880</t>
  </si>
  <si>
    <t>0.00175040</t>
  </si>
  <si>
    <t>1.90552900</t>
  </si>
  <si>
    <t>1.91772790</t>
  </si>
  <si>
    <t>1.91044970</t>
  </si>
  <si>
    <t>1.32255770</t>
  </si>
  <si>
    <t>1.37787190</t>
  </si>
  <si>
    <t>1.53588350</t>
  </si>
  <si>
    <t>20</t>
  </si>
  <si>
    <t>0.17779600</t>
  </si>
  <si>
    <t>0.17255310</t>
  </si>
  <si>
    <t>0.17659870</t>
  </si>
  <si>
    <t>0.81975660</t>
  </si>
  <si>
    <t>0.80203060</t>
  </si>
  <si>
    <t>0.80344380</t>
  </si>
  <si>
    <t>0.87195260</t>
  </si>
  <si>
    <t>0.85827810</t>
  </si>
  <si>
    <t>0.87049660</t>
  </si>
  <si>
    <t>0.64713250</t>
  </si>
  <si>
    <t>0.62678560</t>
  </si>
  <si>
    <t>0.62250880</t>
  </si>
  <si>
    <t>31</t>
  </si>
  <si>
    <t>0.07634690</t>
  </si>
  <si>
    <t>32</t>
  </si>
  <si>
    <t>0.06994450</t>
  </si>
  <si>
    <t>30</t>
  </si>
  <si>
    <t>0.06352990</t>
  </si>
  <si>
    <t>0.22906520</t>
  </si>
  <si>
    <t>0.22711420</t>
  </si>
  <si>
    <t>0.22831450</t>
  </si>
  <si>
    <t>0.00167650</t>
  </si>
  <si>
    <t>0.00163570</t>
  </si>
  <si>
    <t>0.00165160</t>
  </si>
  <si>
    <t>1.76217250</t>
  </si>
  <si>
    <t>1.77588690</t>
  </si>
  <si>
    <t>1.75360060</t>
  </si>
  <si>
    <t>1.08914280</t>
  </si>
  <si>
    <t>0.99020660</t>
  </si>
  <si>
    <t>0.99213080</t>
  </si>
  <si>
    <t>21</t>
  </si>
  <si>
    <t>0.16819050</t>
  </si>
  <si>
    <t>0.17697210</t>
  </si>
  <si>
    <t>0.17405080</t>
  </si>
  <si>
    <t>0.81587170</t>
  </si>
  <si>
    <t>0.83478750</t>
  </si>
  <si>
    <t>0.82608670</t>
  </si>
  <si>
    <t>0.91508300</t>
  </si>
  <si>
    <t>0.89202230</t>
  </si>
  <si>
    <t>0.91328260</t>
  </si>
  <si>
    <t>0.69368940</t>
  </si>
  <si>
    <t>0.68479970</t>
  </si>
  <si>
    <t>0.69543210</t>
  </si>
  <si>
    <t>37</t>
  </si>
  <si>
    <t>0.08445800</t>
  </si>
  <si>
    <t>38</t>
  </si>
  <si>
    <t>0.06888860</t>
  </si>
  <si>
    <t>36</t>
  </si>
  <si>
    <t>0.07864150</t>
  </si>
  <si>
    <t>0.23290820</t>
  </si>
  <si>
    <t>0.22918950</t>
  </si>
  <si>
    <t>0.22843270</t>
  </si>
  <si>
    <t>0.00162560</t>
  </si>
  <si>
    <t>0.00164240</t>
  </si>
  <si>
    <t>0.00177960</t>
  </si>
  <si>
    <t>1.72933520</t>
  </si>
  <si>
    <t>1.72617480</t>
  </si>
  <si>
    <t>1.72584900</t>
  </si>
  <si>
    <t>0.80270860</t>
  </si>
  <si>
    <t>0.81368770</t>
  </si>
  <si>
    <t>0.80949090</t>
  </si>
  <si>
    <t>0.17783680</t>
  </si>
  <si>
    <t>0.17527450</t>
  </si>
  <si>
    <t>0.18304420</t>
  </si>
  <si>
    <t>0.83208960</t>
  </si>
  <si>
    <t>0.82393130</t>
  </si>
  <si>
    <t>0.83869990</t>
  </si>
  <si>
    <t>0.90171200</t>
  </si>
  <si>
    <t>0.88778480</t>
  </si>
  <si>
    <t>0.89117600</t>
  </si>
  <si>
    <t>0.61194760</t>
  </si>
  <si>
    <t>0.60927130</t>
  </si>
  <si>
    <t>0.60786740</t>
  </si>
  <si>
    <t>0.06241690</t>
  </si>
  <si>
    <t>0.07493510</t>
  </si>
  <si>
    <t>0.06201940</t>
  </si>
  <si>
    <t>0.28517420</t>
  </si>
  <si>
    <t>0.27184350</t>
  </si>
  <si>
    <t>0.27191210</t>
  </si>
  <si>
    <t>0.00174130</t>
  </si>
  <si>
    <t>0.00168720</t>
  </si>
  <si>
    <t>0.00172050</t>
  </si>
  <si>
    <t>1.79042260</t>
  </si>
  <si>
    <t>1.78308300</t>
  </si>
  <si>
    <t>1.77730830</t>
  </si>
  <si>
    <t>1.65857530</t>
  </si>
  <si>
    <t>1.87610810</t>
  </si>
  <si>
    <t>2.17452250</t>
  </si>
  <si>
    <t>0.17888040</t>
  </si>
  <si>
    <t>0.17964230</t>
  </si>
  <si>
    <t>0.17585850</t>
  </si>
  <si>
    <t>0.84443890</t>
  </si>
  <si>
    <t>0.84637360</t>
  </si>
  <si>
    <t>0.84825290</t>
  </si>
  <si>
    <t>0.92336970</t>
  </si>
  <si>
    <t>0.93072740</t>
  </si>
  <si>
    <t>0.92041660</t>
  </si>
  <si>
    <t>0.61628620</t>
  </si>
  <si>
    <t>0.61107640</t>
  </si>
  <si>
    <t>0.61925170</t>
  </si>
  <si>
    <t>48</t>
  </si>
  <si>
    <t>0.07557730</t>
  </si>
  <si>
    <t>46</t>
  </si>
  <si>
    <t>0.07397230</t>
  </si>
  <si>
    <t>0.07398330</t>
  </si>
  <si>
    <t>0.28691210</t>
  </si>
  <si>
    <t>0.28591810</t>
  </si>
  <si>
    <t>0.29302350</t>
  </si>
  <si>
    <t>0.00166930</t>
  </si>
  <si>
    <t>0.00167530</t>
  </si>
  <si>
    <t>0.00167070</t>
  </si>
  <si>
    <t>1.81081330</t>
  </si>
  <si>
    <t>1.81116780</t>
  </si>
  <si>
    <t>1.80814440</t>
  </si>
  <si>
    <t>2.50787810</t>
  </si>
  <si>
    <t>2.90056640</t>
  </si>
  <si>
    <t>2.53041290</t>
  </si>
  <si>
    <t>24</t>
  </si>
  <si>
    <t>0.17638980</t>
  </si>
  <si>
    <t>0.17186840</t>
  </si>
  <si>
    <t>0.17602340</t>
  </si>
  <si>
    <t>0.84752670</t>
  </si>
  <si>
    <t>0.85364800</t>
  </si>
  <si>
    <t>0.83650570</t>
  </si>
  <si>
    <t>0.89421840</t>
  </si>
  <si>
    <t>0.89992130</t>
  </si>
  <si>
    <t>0.90965230</t>
  </si>
  <si>
    <t>0.64315360</t>
  </si>
  <si>
    <t>0.63187920</t>
  </si>
  <si>
    <t>0.64148360</t>
  </si>
  <si>
    <t>49</t>
  </si>
  <si>
    <t>0.06686520</t>
  </si>
  <si>
    <t>45</t>
  </si>
  <si>
    <t>0.07196610</t>
  </si>
  <si>
    <t>0.06606090</t>
  </si>
  <si>
    <t>0.28455550</t>
  </si>
  <si>
    <t>0.28641080</t>
  </si>
  <si>
    <t>0.28567870</t>
  </si>
  <si>
    <t>0.00183120</t>
  </si>
  <si>
    <t>0.00175380</t>
  </si>
  <si>
    <t>0.00176110</t>
  </si>
  <si>
    <t>2.06670160</t>
  </si>
  <si>
    <t>2.05736380</t>
  </si>
  <si>
    <t>2.03951020</t>
  </si>
  <si>
    <t>1.30937130</t>
  </si>
  <si>
    <t>1.28715020</t>
  </si>
  <si>
    <t>1.57283550</t>
  </si>
  <si>
    <t>0.18466940</t>
  </si>
  <si>
    <t>0.18259710</t>
  </si>
  <si>
    <t>0.18295850</t>
  </si>
  <si>
    <t>0.88763030</t>
  </si>
  <si>
    <t>0.87216370</t>
  </si>
  <si>
    <t>0.88470260</t>
  </si>
  <si>
    <t>1.01134300</t>
  </si>
  <si>
    <t>0.95961120</t>
  </si>
  <si>
    <t>0.93976350</t>
  </si>
  <si>
    <t>0.62670360</t>
  </si>
  <si>
    <t>0.64880000</t>
  </si>
  <si>
    <t>0.62479910</t>
  </si>
  <si>
    <t>50</t>
  </si>
  <si>
    <t>0.07495070</t>
  </si>
  <si>
    <t>0.06521160</t>
  </si>
  <si>
    <t>52</t>
  </si>
  <si>
    <t>0.07796800</t>
  </si>
  <si>
    <t>0.31424000</t>
  </si>
  <si>
    <t>0.31833370</t>
  </si>
  <si>
    <t>0.32724560</t>
  </si>
  <si>
    <t>0.00181330</t>
  </si>
  <si>
    <t>0.00204590</t>
  </si>
  <si>
    <t>0.00194980</t>
  </si>
  <si>
    <t>1.86643680</t>
  </si>
  <si>
    <t>1.88417420</t>
  </si>
  <si>
    <t>1.89808870</t>
  </si>
  <si>
    <t>3.97682900</t>
  </si>
  <si>
    <t>3.77171010</t>
  </si>
  <si>
    <t>3.41733940</t>
  </si>
  <si>
    <t>26</t>
  </si>
  <si>
    <t>0.17828830</t>
  </si>
  <si>
    <t>0.17534210</t>
  </si>
  <si>
    <t>0.17869950</t>
  </si>
  <si>
    <t>0.98551140</t>
  </si>
  <si>
    <t>0.98257200</t>
  </si>
  <si>
    <t>0.96296180</t>
  </si>
  <si>
    <t>1.08125170</t>
  </si>
  <si>
    <t>1.01759180</t>
  </si>
  <si>
    <t>1.03020100</t>
  </si>
  <si>
    <t>0.73065690</t>
  </si>
  <si>
    <t>0.78855410</t>
  </si>
  <si>
    <t>0.72779220</t>
  </si>
  <si>
    <t>0.06446420</t>
  </si>
  <si>
    <t>43</t>
  </si>
  <si>
    <t>0.07819050</t>
  </si>
  <si>
    <t>0.05952290</t>
  </si>
  <si>
    <t>1.44789960</t>
  </si>
  <si>
    <t>1.43870430</t>
  </si>
  <si>
    <t>1.40294830</t>
  </si>
  <si>
    <t>0.00279330</t>
  </si>
  <si>
    <t>0.00273460</t>
  </si>
  <si>
    <t>0.00283390</t>
  </si>
  <si>
    <t>3.07765230</t>
  </si>
  <si>
    <t>3.06597880</t>
  </si>
  <si>
    <t>3.07718890</t>
  </si>
  <si>
    <t>2.54177600</t>
  </si>
  <si>
    <t>2.29333270</t>
  </si>
  <si>
    <t>2.31569210</t>
  </si>
  <si>
    <t>33</t>
  </si>
  <si>
    <t>0.19732750</t>
  </si>
  <si>
    <t>0.19747740</t>
  </si>
  <si>
    <t>0.19159040</t>
  </si>
  <si>
    <t>1.95428230</t>
  </si>
  <si>
    <t>1.98166780</t>
  </si>
  <si>
    <t>34</t>
  </si>
  <si>
    <t>1.90320790</t>
  </si>
  <si>
    <t>2.05420780</t>
  </si>
  <si>
    <t>2.10375690</t>
  </si>
  <si>
    <t>2.05427300</t>
  </si>
  <si>
    <t>35</t>
  </si>
  <si>
    <t>0.91956810</t>
  </si>
  <si>
    <t>0.93994760</t>
  </si>
  <si>
    <t>0.91741080</t>
  </si>
  <si>
    <t>0.07729840</t>
  </si>
  <si>
    <t>61</t>
  </si>
  <si>
    <t>0.06991110</t>
  </si>
  <si>
    <t>0.07379520</t>
  </si>
  <si>
    <t>9.44027850</t>
  </si>
  <si>
    <t>9.43333820</t>
  </si>
  <si>
    <t>9.40023170</t>
  </si>
  <si>
    <t>0.00591700</t>
  </si>
  <si>
    <t>0.00565790</t>
  </si>
  <si>
    <t>0.00581960</t>
  </si>
  <si>
    <t>5.75286720</t>
  </si>
  <si>
    <t>5.75163370</t>
  </si>
  <si>
    <t>5.75038250</t>
  </si>
  <si>
    <t>7.15333240</t>
  </si>
  <si>
    <t>6.64269790</t>
  </si>
  <si>
    <t>6.36575810</t>
  </si>
  <si>
    <t>28</t>
  </si>
  <si>
    <t>0.21486400</t>
  </si>
  <si>
    <t>0.21638510</t>
  </si>
  <si>
    <t>0.21722080</t>
  </si>
  <si>
    <t>4.83566410</t>
  </si>
  <si>
    <t>5.34175080</t>
  </si>
  <si>
    <t>6.51738150</t>
  </si>
  <si>
    <t>4.97272560</t>
  </si>
  <si>
    <t>4.75034600</t>
  </si>
  <si>
    <t>4.85139150</t>
  </si>
  <si>
    <t>47</t>
  </si>
  <si>
    <t>1.53509850</t>
  </si>
  <si>
    <t>53</t>
  </si>
  <si>
    <t>1.18420750</t>
  </si>
  <si>
    <t>1.43607170</t>
  </si>
  <si>
    <t>79</t>
  </si>
  <si>
    <t>0.11012180</t>
  </si>
  <si>
    <t>83</t>
  </si>
  <si>
    <t>0.10895040</t>
  </si>
  <si>
    <t>82</t>
  </si>
  <si>
    <t>0.09229380</t>
  </si>
  <si>
    <t>30.37730310</t>
  </si>
  <si>
    <t>30.30442290</t>
  </si>
  <si>
    <t>30.47570790</t>
  </si>
  <si>
    <t>0.00912490</t>
  </si>
  <si>
    <t>0.00889170</t>
  </si>
  <si>
    <t>0.00906280</t>
  </si>
  <si>
    <t>51</t>
  </si>
  <si>
    <t>8.48594270</t>
  </si>
  <si>
    <t>8.46538550</t>
  </si>
  <si>
    <t>8.43781620</t>
  </si>
  <si>
    <t>14.05474870</t>
  </si>
  <si>
    <t>13.70074470</t>
  </si>
  <si>
    <t>13.67060870</t>
  </si>
  <si>
    <t>29</t>
  </si>
  <si>
    <t>64</t>
  </si>
  <si>
    <t>0.24058230</t>
  </si>
  <si>
    <t>65</t>
  </si>
  <si>
    <t>0.24596710</t>
  </si>
  <si>
    <t>0.23992440</t>
  </si>
  <si>
    <t>11.12599540</t>
  </si>
  <si>
    <t>10.89553240</t>
  </si>
  <si>
    <t>10.74228980</t>
  </si>
  <si>
    <t>9.45876020</t>
  </si>
  <si>
    <t>10.60508110</t>
  </si>
  <si>
    <t>66</t>
  </si>
  <si>
    <t>9.83658150</t>
  </si>
  <si>
    <t>63</t>
  </si>
  <si>
    <t>2.36670020</t>
  </si>
  <si>
    <t>2.71571000</t>
  </si>
  <si>
    <t>1.94439920</t>
  </si>
  <si>
    <t>138</t>
  </si>
  <si>
    <t>0.11837760</t>
  </si>
  <si>
    <t>133</t>
  </si>
  <si>
    <t>0.10181280</t>
  </si>
  <si>
    <t>129</t>
  </si>
  <si>
    <t>0.09774410</t>
  </si>
  <si>
    <t>68</t>
  </si>
  <si>
    <t>69.19860620</t>
  </si>
  <si>
    <t>69.28259270</t>
  </si>
  <si>
    <t>69.44731670</t>
  </si>
  <si>
    <t>0.01291640</t>
  </si>
  <si>
    <t>0.01386320</t>
  </si>
  <si>
    <t>0.01267240</t>
  </si>
  <si>
    <t>11.28481060</t>
  </si>
  <si>
    <t>11.30498760</t>
  </si>
  <si>
    <t>11.23613830</t>
  </si>
  <si>
    <t>24.12139840</t>
  </si>
  <si>
    <t>24.03570600</t>
  </si>
  <si>
    <t>24.08387120</t>
  </si>
  <si>
    <t>75</t>
  </si>
  <si>
    <t>0.28411710</t>
  </si>
  <si>
    <t>0.28629970</t>
  </si>
  <si>
    <t>74</t>
  </si>
  <si>
    <t>0.29058440</t>
  </si>
  <si>
    <t>72</t>
  </si>
  <si>
    <t>21.85612830</t>
  </si>
  <si>
    <t>70</t>
  </si>
  <si>
    <t>18.80333900</t>
  </si>
  <si>
    <t>71</t>
  </si>
  <si>
    <t>21.78705240</t>
  </si>
  <si>
    <t>18.99957980</t>
  </si>
  <si>
    <t>19.86515900</t>
  </si>
  <si>
    <t>18.92090170</t>
  </si>
  <si>
    <t>69</t>
  </si>
  <si>
    <t>2.54130290</t>
  </si>
  <si>
    <t>2.61618170</t>
  </si>
  <si>
    <t>2.33507090</t>
  </si>
  <si>
    <t>169</t>
  </si>
  <si>
    <t>0.11267990</t>
  </si>
  <si>
    <t>170</t>
  </si>
  <si>
    <t>0.11679800</t>
  </si>
  <si>
    <t>172</t>
  </si>
  <si>
    <t>0.11221710</t>
  </si>
  <si>
    <t>139.561151s0</t>
  </si>
  <si>
    <t>135.48945980</t>
  </si>
  <si>
    <t>141.45151150</t>
  </si>
  <si>
    <t>0.01549450</t>
  </si>
  <si>
    <t>0.01499060</t>
  </si>
  <si>
    <t>0.01561110</t>
  </si>
  <si>
    <t>76</t>
  </si>
  <si>
    <t>13.82259630</t>
  </si>
  <si>
    <t>13.80315030</t>
  </si>
  <si>
    <t>13.83427850</t>
  </si>
  <si>
    <t>73</t>
  </si>
  <si>
    <t>49.94852990</t>
  </si>
  <si>
    <t>47.98447150</t>
  </si>
  <si>
    <t>48.24325430</t>
  </si>
  <si>
    <t>91</t>
  </si>
  <si>
    <t>0.30755020</t>
  </si>
  <si>
    <t>90</t>
  </si>
  <si>
    <t>0.34133910</t>
  </si>
  <si>
    <t>0.31786610</t>
  </si>
  <si>
    <t>92</t>
  </si>
  <si>
    <t>36.45112910</t>
  </si>
  <si>
    <t>32.48136940</t>
  </si>
  <si>
    <t>36.38168010</t>
  </si>
  <si>
    <t>38.13803790</t>
  </si>
  <si>
    <t>39.52063620</t>
  </si>
  <si>
    <t>40.01925730</t>
  </si>
  <si>
    <t>95</t>
  </si>
  <si>
    <t>3.45246980</t>
  </si>
  <si>
    <t>4.42358030</t>
  </si>
  <si>
    <t>4.42916000</t>
  </si>
  <si>
    <t>325</t>
  </si>
  <si>
    <t>0.13104450</t>
  </si>
  <si>
    <t>337</t>
  </si>
  <si>
    <t>0.13615040</t>
  </si>
  <si>
    <t>324</t>
  </si>
  <si>
    <t>0.12289930</t>
  </si>
  <si>
    <t>206.14594520</t>
  </si>
  <si>
    <t>204.12596250</t>
  </si>
  <si>
    <t>210.12564510</t>
  </si>
  <si>
    <t>100</t>
  </si>
  <si>
    <t>0.02133800</t>
  </si>
  <si>
    <t>0.02089970</t>
  </si>
  <si>
    <t>0.02135330</t>
  </si>
  <si>
    <t>96</t>
  </si>
  <si>
    <t>16.56809280</t>
  </si>
  <si>
    <t>16.67742950</t>
  </si>
  <si>
    <t>16.63245310</t>
  </si>
  <si>
    <t>57.47880500</t>
  </si>
  <si>
    <t>57.58498880</t>
  </si>
  <si>
    <t>57.28722340</t>
  </si>
  <si>
    <t>0.53926700</t>
  </si>
  <si>
    <t>0.55796790</t>
  </si>
  <si>
    <t>0.53264440</t>
  </si>
  <si>
    <t>79.24738060</t>
  </si>
  <si>
    <t>78.49935170</t>
  </si>
  <si>
    <t>82.06335290</t>
  </si>
  <si>
    <t>82.29358160</t>
  </si>
  <si>
    <t>81.15266930</t>
  </si>
  <si>
    <t>82.06114200</t>
  </si>
  <si>
    <t>93</t>
  </si>
  <si>
    <t>3.96553370</t>
  </si>
  <si>
    <t>3.90835180</t>
  </si>
  <si>
    <t>89</t>
  </si>
  <si>
    <t>4.54580190</t>
  </si>
  <si>
    <t>277</t>
  </si>
  <si>
    <t>0.11358930</t>
  </si>
  <si>
    <t>271</t>
  </si>
  <si>
    <t>0.12159680</t>
  </si>
  <si>
    <t>275</t>
  </si>
  <si>
    <t>0.11423880</t>
  </si>
  <si>
    <t>350.47981250</t>
  </si>
  <si>
    <t>345.25961050</t>
  </si>
  <si>
    <t>358.49848940</t>
  </si>
  <si>
    <t>87</t>
  </si>
  <si>
    <t>0.02295250</t>
  </si>
  <si>
    <t>0.02306510</t>
  </si>
  <si>
    <t>0.02335480</t>
  </si>
  <si>
    <t>94</t>
  </si>
  <si>
    <t>19.40132110</t>
  </si>
  <si>
    <t>19.41664750</t>
  </si>
  <si>
    <t>19.39805460</t>
  </si>
  <si>
    <t>119.44445320</t>
  </si>
  <si>
    <t>120.73972770</t>
  </si>
  <si>
    <t>120.08756040</t>
  </si>
  <si>
    <t>159</t>
  </si>
  <si>
    <t>0.39580380</t>
  </si>
  <si>
    <t>0.34804890</t>
  </si>
  <si>
    <t>158</t>
  </si>
  <si>
    <t>0.32488880</t>
  </si>
  <si>
    <t>97.89767420</t>
  </si>
  <si>
    <t>160</t>
  </si>
  <si>
    <t>97.47754720</t>
  </si>
  <si>
    <t>93.56083710</t>
  </si>
  <si>
    <t>95.87680480</t>
  </si>
  <si>
    <t>89.97687580</t>
  </si>
  <si>
    <t>95.78703550</t>
  </si>
  <si>
    <t>21.80023610</t>
  </si>
  <si>
    <t>23.00388370</t>
  </si>
  <si>
    <t>21.12832640</t>
  </si>
  <si>
    <t>515</t>
  </si>
  <si>
    <t>0.17355030</t>
  </si>
  <si>
    <t>535</t>
  </si>
  <si>
    <t>0.17134100</t>
  </si>
  <si>
    <t>534</t>
  </si>
  <si>
    <t>0.18845350</t>
  </si>
  <si>
    <t>163</t>
  </si>
  <si>
    <t>507.50559510</t>
  </si>
  <si>
    <t>503.48755260</t>
  </si>
  <si>
    <t>510.48545620</t>
  </si>
  <si>
    <t>167</t>
  </si>
  <si>
    <t>0.04124630</t>
  </si>
  <si>
    <t>0.04095110</t>
  </si>
  <si>
    <t>0.04583580</t>
  </si>
  <si>
    <t>161</t>
  </si>
  <si>
    <t>22.15378560</t>
  </si>
  <si>
    <t>22.20209890</t>
  </si>
  <si>
    <t>22.11277000</t>
  </si>
  <si>
    <t>107.14484640</t>
  </si>
  <si>
    <t>106.55702720</t>
  </si>
  <si>
    <t>108.31499280</t>
  </si>
  <si>
    <t>128</t>
  </si>
  <si>
    <t>0.45854300</t>
  </si>
  <si>
    <t>0.58949110</t>
  </si>
  <si>
    <t>0.45883700</t>
  </si>
  <si>
    <t>117.83592860</t>
  </si>
  <si>
    <t>110.66932350</t>
  </si>
  <si>
    <t>127</t>
  </si>
  <si>
    <t>115.52997870</t>
  </si>
  <si>
    <t>110.27921720</t>
  </si>
  <si>
    <t>107.21207790</t>
  </si>
  <si>
    <t>102.25441250</t>
  </si>
  <si>
    <t>126</t>
  </si>
  <si>
    <t>11.20385310</t>
  </si>
  <si>
    <t>11.26086230</t>
  </si>
  <si>
    <t>125</t>
  </si>
  <si>
    <t>15.76940390</t>
  </si>
  <si>
    <t>441</t>
  </si>
  <si>
    <t>0.14654610</t>
  </si>
  <si>
    <t>439</t>
  </si>
  <si>
    <t>0.14698040</t>
  </si>
  <si>
    <t>437</t>
  </si>
  <si>
    <t>0.15144680</t>
  </si>
  <si>
    <t>131</t>
  </si>
  <si>
    <t>760.48533910</t>
  </si>
  <si>
    <t>758.18859620</t>
  </si>
  <si>
    <t>762.02256840</t>
  </si>
  <si>
    <t>134</t>
  </si>
  <si>
    <t>0.03806640</t>
  </si>
  <si>
    <t>0.03691410</t>
  </si>
  <si>
    <t>0.03658000</t>
  </si>
  <si>
    <t>25.33020270</t>
  </si>
  <si>
    <t>25.45527130</t>
  </si>
  <si>
    <t>25.47964020</t>
  </si>
  <si>
    <t>156.81973640</t>
  </si>
  <si>
    <t>155.78720440</t>
  </si>
  <si>
    <t>159.38723790</t>
  </si>
  <si>
    <t>181</t>
  </si>
  <si>
    <t>0.39488090</t>
  </si>
  <si>
    <t>0.39739680</t>
  </si>
  <si>
    <t>180</t>
  </si>
  <si>
    <t>0.40134280</t>
  </si>
  <si>
    <t>183</t>
  </si>
  <si>
    <t>155.13891980</t>
  </si>
  <si>
    <t>133.38187610</t>
  </si>
  <si>
    <t>145.76491300</t>
  </si>
  <si>
    <t>119.20223650</t>
  </si>
  <si>
    <t>121.56332080</t>
  </si>
  <si>
    <t>184</t>
  </si>
  <si>
    <t>123.54220230</t>
  </si>
  <si>
    <t>30.83224080</t>
  </si>
  <si>
    <t>186</t>
  </si>
  <si>
    <t>32.17633080</t>
  </si>
  <si>
    <t>185</t>
  </si>
  <si>
    <t>33.62064240</t>
  </si>
  <si>
    <t>454</t>
  </si>
  <si>
    <t>0.17697160</t>
  </si>
  <si>
    <t>450</t>
  </si>
  <si>
    <t>0.18030590</t>
  </si>
  <si>
    <t>451</t>
  </si>
  <si>
    <t>0.18309800</t>
  </si>
  <si>
    <t>187</t>
  </si>
  <si>
    <t>1010.28599870</t>
  </si>
  <si>
    <t>1008.48956140</t>
  </si>
  <si>
    <t>1015.20610570</t>
  </si>
  <si>
    <t>207</t>
  </si>
  <si>
    <t>0.06277680</t>
  </si>
  <si>
    <t>0.06149390</t>
  </si>
  <si>
    <t>0.06083570</t>
  </si>
  <si>
    <t>27.56851140</t>
  </si>
  <si>
    <t>27.45875490</t>
  </si>
  <si>
    <t>27.50663890</t>
  </si>
  <si>
    <t>187.28424430</t>
  </si>
  <si>
    <t>186.60913880</t>
  </si>
  <si>
    <t>186.14205240</t>
  </si>
  <si>
    <t>122</t>
  </si>
  <si>
    <t>1.15153950</t>
  </si>
  <si>
    <t>1.18250070</t>
  </si>
  <si>
    <t>1.19264490</t>
  </si>
  <si>
    <t>544.49057310</t>
  </si>
  <si>
    <t>121</t>
  </si>
  <si>
    <t>527.02525910</t>
  </si>
  <si>
    <t>553.14565150</t>
  </si>
  <si>
    <t>483.75079350</t>
  </si>
  <si>
    <t>495.56489120</t>
  </si>
  <si>
    <t>485.44752060</t>
  </si>
  <si>
    <t>120</t>
  </si>
  <si>
    <t>9.75864890</t>
  </si>
  <si>
    <t>8.78881220</t>
  </si>
  <si>
    <t>123</t>
  </si>
  <si>
    <t>9.08490210</t>
  </si>
  <si>
    <t>491</t>
  </si>
  <si>
    <t>0.19368180</t>
  </si>
  <si>
    <t>487</t>
  </si>
  <si>
    <t>0.20314810</t>
  </si>
  <si>
    <t>489</t>
  </si>
  <si>
    <t>0.19587200</t>
  </si>
  <si>
    <t>1112.12104420</t>
  </si>
  <si>
    <t>1118.12594850</t>
  </si>
  <si>
    <t>1101.25949110</t>
  </si>
  <si>
    <t>116</t>
  </si>
  <si>
    <t>0.03592190</t>
  </si>
  <si>
    <t>0.03654050</t>
  </si>
  <si>
    <t>0.03598500</t>
  </si>
  <si>
    <t>28.78108800</t>
  </si>
  <si>
    <t>28.78561620</t>
  </si>
  <si>
    <t>28.69516040</t>
  </si>
  <si>
    <t>395.22745640</t>
  </si>
  <si>
    <t>400.67558470</t>
  </si>
  <si>
    <t>402.48965420</t>
  </si>
  <si>
    <t>178</t>
  </si>
  <si>
    <t>3.75217930</t>
  </si>
  <si>
    <t>177</t>
  </si>
  <si>
    <t>3.62730690</t>
  </si>
  <si>
    <t>4.03355090</t>
  </si>
  <si>
    <t>176</t>
  </si>
  <si>
    <t>48.73858460</t>
  </si>
  <si>
    <t>47.60994120</t>
  </si>
  <si>
    <t>174</t>
  </si>
  <si>
    <t>48.52537830</t>
  </si>
  <si>
    <t>1035</t>
  </si>
  <si>
    <t>0.40085570</t>
  </si>
  <si>
    <t>1036</t>
  </si>
  <si>
    <t>0.41297630</t>
  </si>
  <si>
    <t>1033</t>
  </si>
  <si>
    <t>0.40640780</t>
  </si>
  <si>
    <t>0.09046450</t>
  </si>
  <si>
    <t>0.09144580</t>
  </si>
  <si>
    <t>0.09417170</t>
  </si>
  <si>
    <t>67.36786760</t>
  </si>
  <si>
    <t>67.39329940</t>
  </si>
  <si>
    <t>67.33835210</t>
  </si>
  <si>
    <t>175</t>
  </si>
  <si>
    <t>2.59669410</t>
  </si>
  <si>
    <t>2.59011200</t>
  </si>
  <si>
    <t>2.57250220</t>
  </si>
  <si>
    <t>179</t>
  </si>
  <si>
    <t>190.03262350</t>
  </si>
  <si>
    <t>188.78994210</t>
  </si>
  <si>
    <t>204.44452810</t>
  </si>
  <si>
    <t>1742</t>
  </si>
  <si>
    <t>0.76289630</t>
  </si>
  <si>
    <t>1735</t>
  </si>
  <si>
    <t>0.76984080</t>
  </si>
  <si>
    <t>1731</t>
  </si>
  <si>
    <t>0.77514080</t>
  </si>
  <si>
    <t>201</t>
  </si>
  <si>
    <t>0.21754070</t>
  </si>
  <si>
    <t>0.21484040</t>
  </si>
  <si>
    <t>0.21487130</t>
  </si>
  <si>
    <t>90.52134920</t>
  </si>
  <si>
    <t>90.38934630</t>
  </si>
  <si>
    <t>90.57376750</t>
  </si>
  <si>
    <t>greedy</t>
  </si>
  <si>
    <t>tabu search</t>
  </si>
  <si>
    <t>min</t>
  </si>
  <si>
    <t>max</t>
  </si>
  <si>
    <t>avg</t>
  </si>
  <si>
    <t>t_avg</t>
  </si>
  <si>
    <t>DSatur</t>
  </si>
  <si>
    <t xml:space="preserve">hs.c </t>
  </si>
  <si>
    <t>0.00351300</t>
  </si>
  <si>
    <t>0.00356500</t>
  </si>
  <si>
    <t>0.00389600</t>
  </si>
  <si>
    <t>0.00027500</t>
  </si>
  <si>
    <t>0.00022400</t>
  </si>
  <si>
    <t>0.00026900</t>
  </si>
  <si>
    <t>0.17710900</t>
  </si>
  <si>
    <t>0.17629500</t>
  </si>
  <si>
    <t>0.17693300</t>
  </si>
  <si>
    <t>0.00620600</t>
  </si>
  <si>
    <t>0.00935200</t>
  </si>
  <si>
    <t>0.00746400</t>
  </si>
  <si>
    <t>0.47204300</t>
  </si>
  <si>
    <t>0.46581400</t>
  </si>
  <si>
    <t>0.47179000</t>
  </si>
  <si>
    <t>0.47061400</t>
  </si>
  <si>
    <t>0.47685700</t>
  </si>
  <si>
    <t>0.47228500</t>
  </si>
  <si>
    <t>0.19117700</t>
  </si>
  <si>
    <t>0.21253200</t>
  </si>
  <si>
    <t>0.18797900</t>
  </si>
  <si>
    <t>9.90296300</t>
  </si>
  <si>
    <t>9.88493300</t>
  </si>
  <si>
    <t>9.89632400</t>
  </si>
  <si>
    <t>7.02531700</t>
  </si>
  <si>
    <t>6.33173800</t>
  </si>
  <si>
    <t>7.31551200</t>
  </si>
  <si>
    <t>0.00643100</t>
  </si>
  <si>
    <t>0.00737800</t>
  </si>
  <si>
    <t>0.00549900</t>
  </si>
  <si>
    <t>0.00031100</t>
  </si>
  <si>
    <t>0.00033700</t>
  </si>
  <si>
    <t>0.00030800</t>
  </si>
  <si>
    <t>0.25458800</t>
  </si>
  <si>
    <t>0.25256400</t>
  </si>
  <si>
    <t>0.25163200</t>
  </si>
  <si>
    <t>0.02828100</t>
  </si>
  <si>
    <t>0.02390600</t>
  </si>
  <si>
    <t>0.02359700</t>
  </si>
  <si>
    <t>0.47898000</t>
  </si>
  <si>
    <t>0.46696800</t>
  </si>
  <si>
    <t>0.47162700</t>
  </si>
  <si>
    <t>0.47132000</t>
  </si>
  <si>
    <t>0.46637800</t>
  </si>
  <si>
    <t>0.46620500</t>
  </si>
  <si>
    <t>0.21601800</t>
  </si>
  <si>
    <t>0.21530300</t>
  </si>
  <si>
    <t>0.21307500</t>
  </si>
  <si>
    <t>5.66087900</t>
  </si>
  <si>
    <t>5.63880900</t>
  </si>
  <si>
    <t>5.66753200</t>
  </si>
  <si>
    <t>12.31529400</t>
  </si>
  <si>
    <t>9.43567300</t>
  </si>
  <si>
    <t>12.19828100</t>
  </si>
  <si>
    <t>0.00689100</t>
  </si>
  <si>
    <t>0.00772400</t>
  </si>
  <si>
    <t>0.00511600</t>
  </si>
  <si>
    <t>0.00042700</t>
  </si>
  <si>
    <t>0.00042000</t>
  </si>
  <si>
    <t>0.29552200</t>
  </si>
  <si>
    <t>0.29075100</t>
  </si>
  <si>
    <t>0.29538400</t>
  </si>
  <si>
    <t>0.04091500</t>
  </si>
  <si>
    <t>0.04165100</t>
  </si>
  <si>
    <t>0.04057400</t>
  </si>
  <si>
    <t>0.48047300</t>
  </si>
  <si>
    <t>0.48077300</t>
  </si>
  <si>
    <t>0.47488700</t>
  </si>
  <si>
    <t>0.47095000</t>
  </si>
  <si>
    <t>0.47077700</t>
  </si>
  <si>
    <t>0.46591100</t>
  </si>
  <si>
    <t>0.22767600</t>
  </si>
  <si>
    <t>0.21805700</t>
  </si>
  <si>
    <t>0.22199700</t>
  </si>
  <si>
    <t>5.70953700</t>
  </si>
  <si>
    <t>5.92319200</t>
  </si>
  <si>
    <t>5.98227200</t>
  </si>
  <si>
    <t>13.08996000</t>
  </si>
  <si>
    <t>13.44845900</t>
  </si>
  <si>
    <t>14.28209700</t>
  </si>
  <si>
    <t>0.00923700</t>
  </si>
  <si>
    <t>0.00629300</t>
  </si>
  <si>
    <t>0.00621400</t>
  </si>
  <si>
    <t>0.00042600</t>
  </si>
  <si>
    <t>0.00047200</t>
  </si>
  <si>
    <t>0.00041900</t>
  </si>
  <si>
    <t>0.32027600</t>
  </si>
  <si>
    <t>0.34173000</t>
  </si>
  <si>
    <t>0.31133000</t>
  </si>
  <si>
    <t>0.06383200</t>
  </si>
  <si>
    <t>0.06452800</t>
  </si>
  <si>
    <t>0.06220100</t>
  </si>
  <si>
    <t>0.48052200</t>
  </si>
  <si>
    <t>0.47548500</t>
  </si>
  <si>
    <t>0.47538600</t>
  </si>
  <si>
    <t>0.47795600</t>
  </si>
  <si>
    <t>0.47986300</t>
  </si>
  <si>
    <t>0.47944200</t>
  </si>
  <si>
    <t>0.23644300</t>
  </si>
  <si>
    <t>0.22994800</t>
  </si>
  <si>
    <t>0.23534300</t>
  </si>
  <si>
    <t>5.17164200</t>
  </si>
  <si>
    <t>5.22001300</t>
  </si>
  <si>
    <t>5.19007700</t>
  </si>
  <si>
    <t>19.16097200</t>
  </si>
  <si>
    <t>19.08996800</t>
  </si>
  <si>
    <t>20.10327400</t>
  </si>
  <si>
    <t>0.00669500</t>
  </si>
  <si>
    <t>0.00641100</t>
  </si>
  <si>
    <t>0.00617400</t>
  </si>
  <si>
    <t>0.00053300</t>
  </si>
  <si>
    <t>0.00049600</t>
  </si>
  <si>
    <t>0.00049800</t>
  </si>
  <si>
    <t>0.33230100</t>
  </si>
  <si>
    <t>0.33887200</t>
  </si>
  <si>
    <t>0.33821700</t>
  </si>
  <si>
    <t>0.04883400</t>
  </si>
  <si>
    <t>0.04942500</t>
  </si>
  <si>
    <t>0.04749300</t>
  </si>
  <si>
    <t>0.48869600</t>
  </si>
  <si>
    <t>0.48398800</t>
  </si>
  <si>
    <t>0.48404800</t>
  </si>
  <si>
    <t>0.48698600</t>
  </si>
  <si>
    <t>0.48381200</t>
  </si>
  <si>
    <t>0.48570700</t>
  </si>
  <si>
    <t>0.25623100</t>
  </si>
  <si>
    <t>0.24763400</t>
  </si>
  <si>
    <t>0.25223700</t>
  </si>
  <si>
    <t>6.93666200</t>
  </si>
  <si>
    <t>7.31735500</t>
  </si>
  <si>
    <t>6.96876300</t>
  </si>
  <si>
    <t>12.95614100</t>
  </si>
  <si>
    <t>14.94676300</t>
  </si>
  <si>
    <t>13.92210800</t>
  </si>
  <si>
    <t>0.01147500</t>
  </si>
  <si>
    <t>0.01236600</t>
  </si>
  <si>
    <t>0.00965600</t>
  </si>
  <si>
    <t>0.00050100</t>
  </si>
  <si>
    <t>0.00049900</t>
  </si>
  <si>
    <t>0.31107200</t>
  </si>
  <si>
    <t>0.30127000</t>
  </si>
  <si>
    <t>0.33598900</t>
  </si>
  <si>
    <t>0.06111200</t>
  </si>
  <si>
    <t>0.06162400</t>
  </si>
  <si>
    <t>0.06031200</t>
  </si>
  <si>
    <t>0.48063600</t>
  </si>
  <si>
    <t>0.47590800</t>
  </si>
  <si>
    <t>0.47513600</t>
  </si>
  <si>
    <t>0.47973300</t>
  </si>
  <si>
    <t>0.48043900</t>
  </si>
  <si>
    <t>0.47522000</t>
  </si>
  <si>
    <t>0.27638300</t>
  </si>
  <si>
    <t>0.26961900</t>
  </si>
  <si>
    <t>0.27290800</t>
  </si>
  <si>
    <t>6.77236000</t>
  </si>
  <si>
    <t>6.74636800</t>
  </si>
  <si>
    <t>6.77926800</t>
  </si>
  <si>
    <t>14.33586300</t>
  </si>
  <si>
    <t>15.43687800</t>
  </si>
  <si>
    <t>16.40836100</t>
  </si>
  <si>
    <t>0.01130900</t>
  </si>
  <si>
    <t>0.00909100</t>
  </si>
  <si>
    <t>0.00863300</t>
  </si>
  <si>
    <t>0.00044400</t>
  </si>
  <si>
    <t>0.00044600</t>
  </si>
  <si>
    <t>0.00062300</t>
  </si>
  <si>
    <t>0.38213500</t>
  </si>
  <si>
    <t>0.37670200</t>
  </si>
  <si>
    <t>0.40885900</t>
  </si>
  <si>
    <t>0.07160000</t>
  </si>
  <si>
    <t>0.07562000</t>
  </si>
  <si>
    <t>0.07480100</t>
  </si>
  <si>
    <t>0.48945300</t>
  </si>
  <si>
    <t>0.48682300</t>
  </si>
  <si>
    <t>0.48375800</t>
  </si>
  <si>
    <t>0.48942400</t>
  </si>
  <si>
    <t>0.48945200</t>
  </si>
  <si>
    <t>0.48431300</t>
  </si>
  <si>
    <t>0.28282400</t>
  </si>
  <si>
    <t>0.28090200</t>
  </si>
  <si>
    <t>0.27890900</t>
  </si>
  <si>
    <t>8.46799700</t>
  </si>
  <si>
    <t>8.48055000</t>
  </si>
  <si>
    <t>8.48307000</t>
  </si>
  <si>
    <t>10.78506200</t>
  </si>
  <si>
    <t>12.19822300</t>
  </si>
  <si>
    <t>15.81767500</t>
  </si>
  <si>
    <t>0.01223100</t>
  </si>
  <si>
    <t>0.01405400</t>
  </si>
  <si>
    <t>0.01616300</t>
  </si>
  <si>
    <t>0.00050700</t>
  </si>
  <si>
    <t>0.00063900</t>
  </si>
  <si>
    <t>0.00061400</t>
  </si>
  <si>
    <t>0.41243600</t>
  </si>
  <si>
    <t>0.38987700</t>
  </si>
  <si>
    <t>0.43411600</t>
  </si>
  <si>
    <t>0.10093400</t>
  </si>
  <si>
    <t>0.10217300</t>
  </si>
  <si>
    <t>0.10293800</t>
  </si>
  <si>
    <t>0.49034200</t>
  </si>
  <si>
    <t>0.48505300</t>
  </si>
  <si>
    <t>0.48563900</t>
  </si>
  <si>
    <t>0.48907600</t>
  </si>
  <si>
    <t>0.48536700</t>
  </si>
  <si>
    <t>0.48636100</t>
  </si>
  <si>
    <t>0.28531800</t>
  </si>
  <si>
    <t>0.27939300</t>
  </si>
  <si>
    <t>0.28287200</t>
  </si>
  <si>
    <t>5.95148600</t>
  </si>
  <si>
    <t>6.62407200</t>
  </si>
  <si>
    <t>6.64013100</t>
  </si>
  <si>
    <t>21.05084600</t>
  </si>
  <si>
    <t>25.17550200</t>
  </si>
  <si>
    <t>21.78674100</t>
  </si>
  <si>
    <t>0.01024500</t>
  </si>
  <si>
    <t>0.01423900</t>
  </si>
  <si>
    <t>0.01150600</t>
  </si>
  <si>
    <t>0.00074000</t>
  </si>
  <si>
    <t>0.00066300</t>
  </si>
  <si>
    <t>0.00065200</t>
  </si>
  <si>
    <t>0.45527700</t>
  </si>
  <si>
    <t>0.46115000</t>
  </si>
  <si>
    <t>0.44965800</t>
  </si>
  <si>
    <t>0.08913400</t>
  </si>
  <si>
    <t>0.08617300</t>
  </si>
  <si>
    <t>0.08868700</t>
  </si>
  <si>
    <t>0.49103600</t>
  </si>
  <si>
    <t>0.49218400</t>
  </si>
  <si>
    <t>0.48452000</t>
  </si>
  <si>
    <t>0.48911400</t>
  </si>
  <si>
    <t>0.48490100</t>
  </si>
  <si>
    <t>0.49187800</t>
  </si>
  <si>
    <t>0.29354900</t>
  </si>
  <si>
    <t>0.30175300</t>
  </si>
  <si>
    <t>0.29944800</t>
  </si>
  <si>
    <t>6.89940500</t>
  </si>
  <si>
    <t>6.75805600</t>
  </si>
  <si>
    <t>7.04250600</t>
  </si>
  <si>
    <t>16.98780800</t>
  </si>
  <si>
    <t>14.40634800</t>
  </si>
  <si>
    <t>12.13909900</t>
  </si>
  <si>
    <t>0.01154500</t>
  </si>
  <si>
    <t>0.01223500</t>
  </si>
  <si>
    <t>0.01144000</t>
  </si>
  <si>
    <t>0.00068300</t>
  </si>
  <si>
    <t>0.00071700</t>
  </si>
  <si>
    <t>0.39902700</t>
  </si>
  <si>
    <t>0.39919000</t>
  </si>
  <si>
    <t>0.39955100</t>
  </si>
  <si>
    <t>0.05059600</t>
  </si>
  <si>
    <t>0.04579700</t>
  </si>
  <si>
    <t>0.04698300</t>
  </si>
  <si>
    <t>0.48797700</t>
  </si>
  <si>
    <t>0.48407100</t>
  </si>
  <si>
    <t>0.48506600</t>
  </si>
  <si>
    <t>0.48522300</t>
  </si>
  <si>
    <t>0.49111400</t>
  </si>
  <si>
    <t>0.48562600</t>
  </si>
  <si>
    <t>0.31354600</t>
  </si>
  <si>
    <t>0.31198600</t>
  </si>
  <si>
    <t>0.31654700</t>
  </si>
  <si>
    <t>9.69863000</t>
  </si>
  <si>
    <t>9.71481000</t>
  </si>
  <si>
    <t>9.72892200</t>
  </si>
  <si>
    <t>9.37759200</t>
  </si>
  <si>
    <t>10.68385700</t>
  </si>
  <si>
    <t>11.39712200</t>
  </si>
  <si>
    <t>0.01404900</t>
  </si>
  <si>
    <t>0.01312700</t>
  </si>
  <si>
    <t>0.01378400</t>
  </si>
  <si>
    <t>0.00072700</t>
  </si>
  <si>
    <t>0.00072600</t>
  </si>
  <si>
    <t>0.00074600</t>
  </si>
  <si>
    <t>0.43880800</t>
  </si>
  <si>
    <t>0.42519300</t>
  </si>
  <si>
    <t>0.42346200</t>
  </si>
  <si>
    <t>0.06819500</t>
  </si>
  <si>
    <t>0.06558200</t>
  </si>
  <si>
    <t>0.06699000</t>
  </si>
  <si>
    <t>0.49037600</t>
  </si>
  <si>
    <t>0.48505400</t>
  </si>
  <si>
    <t>0.49088000</t>
  </si>
  <si>
    <t>0.49154500</t>
  </si>
  <si>
    <t>0.48691000</t>
  </si>
  <si>
    <t>0.48686700</t>
  </si>
  <si>
    <t>0.32156600</t>
  </si>
  <si>
    <t>0.31390400</t>
  </si>
  <si>
    <t>0.31937400</t>
  </si>
  <si>
    <t>8.65457100</t>
  </si>
  <si>
    <t>8.82141200</t>
  </si>
  <si>
    <t>8.58579700</t>
  </si>
  <si>
    <t>15.24096500</t>
  </si>
  <si>
    <t>16.80957900</t>
  </si>
  <si>
    <t>13.46510600</t>
  </si>
  <si>
    <t>0.01623900</t>
  </si>
  <si>
    <t>0.01434400</t>
  </si>
  <si>
    <t>0.01431500</t>
  </si>
  <si>
    <t>0.00075500</t>
  </si>
  <si>
    <t>0.00078400</t>
  </si>
  <si>
    <t>0.00076200</t>
  </si>
  <si>
    <t>0.49271800</t>
  </si>
  <si>
    <t>0.48807100</t>
  </si>
  <si>
    <t>0.49036800</t>
  </si>
  <si>
    <t>0.08773000</t>
  </si>
  <si>
    <t>0.08327600</t>
  </si>
  <si>
    <t>0.48784300</t>
  </si>
  <si>
    <t>0.48517400</t>
  </si>
  <si>
    <t>0.48582900</t>
  </si>
  <si>
    <t>0.49012700</t>
  </si>
  <si>
    <t>0.48729900</t>
  </si>
  <si>
    <t>0.48736700</t>
  </si>
  <si>
    <t>0.31579800</t>
  </si>
  <si>
    <t>0.32119400</t>
  </si>
  <si>
    <t>0.31801200</t>
  </si>
  <si>
    <t>7.98860700</t>
  </si>
  <si>
    <t>7.98175300</t>
  </si>
  <si>
    <t>7.94703600</t>
  </si>
  <si>
    <t>18.40829500</t>
  </si>
  <si>
    <t>15.30847200</t>
  </si>
  <si>
    <t>13.90261300</t>
  </si>
  <si>
    <t>0.03041000</t>
  </si>
  <si>
    <t>0.03049100</t>
  </si>
  <si>
    <t>0.02541400</t>
  </si>
  <si>
    <t>0.00079700</t>
  </si>
  <si>
    <t>0.00089800</t>
  </si>
  <si>
    <t>0.00079300</t>
  </si>
  <si>
    <t>0.48965400</t>
  </si>
  <si>
    <t>0.48341700</t>
  </si>
  <si>
    <t>0.48639800</t>
  </si>
  <si>
    <t>0.12202300</t>
  </si>
  <si>
    <t>0.12053000</t>
  </si>
  <si>
    <t>0.12046900</t>
  </si>
  <si>
    <t>0.49223100</t>
  </si>
  <si>
    <t>0.48834900</t>
  </si>
  <si>
    <t>0.49078900</t>
  </si>
  <si>
    <t>0.49189100</t>
  </si>
  <si>
    <t>0.48827200</t>
  </si>
  <si>
    <t>0.48838100</t>
  </si>
  <si>
    <t>0.32563100</t>
  </si>
  <si>
    <t>0.32355700</t>
  </si>
  <si>
    <t>0.32680900</t>
  </si>
  <si>
    <t>7.47360500</t>
  </si>
  <si>
    <t>7.20716600</t>
  </si>
  <si>
    <t>7.22360100</t>
  </si>
  <si>
    <t>21.79400200</t>
  </si>
  <si>
    <t>21.31027500</t>
  </si>
  <si>
    <t>16.90619200</t>
  </si>
  <si>
    <t>0.02524200</t>
  </si>
  <si>
    <t>0.02376000</t>
  </si>
  <si>
    <t>0.03138000</t>
  </si>
  <si>
    <t>0.00087200</t>
  </si>
  <si>
    <t>0.00092000</t>
  </si>
  <si>
    <t>0.00085000</t>
  </si>
  <si>
    <t>0.52614500</t>
  </si>
  <si>
    <t>0.52405600</t>
  </si>
  <si>
    <t>0.52353700</t>
  </si>
  <si>
    <t>0.17071400</t>
  </si>
  <si>
    <t>0.17224800</t>
  </si>
  <si>
    <t>0.17265800</t>
  </si>
  <si>
    <t>0.50221300</t>
  </si>
  <si>
    <t>0.49629700</t>
  </si>
  <si>
    <t>0.49680200</t>
  </si>
  <si>
    <t>0.50408300</t>
  </si>
  <si>
    <t>0.49717400</t>
  </si>
  <si>
    <t>0.49771600</t>
  </si>
  <si>
    <t>0.33423800</t>
  </si>
  <si>
    <t>0.33446400</t>
  </si>
  <si>
    <t>0.33262400</t>
  </si>
  <si>
    <t>7.14778800</t>
  </si>
  <si>
    <t>6.57013500</t>
  </si>
  <si>
    <t>6.62110100</t>
  </si>
  <si>
    <t>27.14542800</t>
  </si>
  <si>
    <t>25.19443100</t>
  </si>
  <si>
    <t>0.02307200</t>
  </si>
  <si>
    <t>0.03270000</t>
  </si>
  <si>
    <t>0.02612700</t>
  </si>
  <si>
    <t>0.00085700</t>
  </si>
  <si>
    <t>0.00090300</t>
  </si>
  <si>
    <t>0.00090000</t>
  </si>
  <si>
    <t>0.59865600</t>
  </si>
  <si>
    <t>0.58687600</t>
  </si>
  <si>
    <t>0.59723200</t>
  </si>
  <si>
    <t>0.15849500</t>
  </si>
  <si>
    <t>0.15772400</t>
  </si>
  <si>
    <t>0.16091500</t>
  </si>
  <si>
    <t>0.50064900</t>
  </si>
  <si>
    <t>0.49742600</t>
  </si>
  <si>
    <t>0.49589700</t>
  </si>
  <si>
    <t>0.50112200</t>
  </si>
  <si>
    <t>0.49747000</t>
  </si>
  <si>
    <t>0.50100600</t>
  </si>
  <si>
    <t>0.34333000</t>
  </si>
  <si>
    <t>0.34433600</t>
  </si>
  <si>
    <t>0.34773100</t>
  </si>
  <si>
    <t>6.95174400</t>
  </si>
  <si>
    <t>6.98100100</t>
  </si>
  <si>
    <t>7.00023600</t>
  </si>
  <si>
    <t>22.04583500</t>
  </si>
  <si>
    <t>25.22472400</t>
  </si>
  <si>
    <t>25.15590800</t>
  </si>
  <si>
    <t>0.21958400</t>
  </si>
  <si>
    <t>0.24634200</t>
  </si>
  <si>
    <t>0.23366800</t>
  </si>
  <si>
    <t>0.00213400</t>
  </si>
  <si>
    <t>0.00234700</t>
  </si>
  <si>
    <t>0.00224800</t>
  </si>
  <si>
    <t>1.25331300</t>
  </si>
  <si>
    <t>1.24673400</t>
  </si>
  <si>
    <t>1.23741200</t>
  </si>
  <si>
    <t>1.21827400</t>
  </si>
  <si>
    <t>1.22247300</t>
  </si>
  <si>
    <t>1.23343900</t>
  </si>
  <si>
    <t>0.56756600</t>
  </si>
  <si>
    <t>0.56259300</t>
  </si>
  <si>
    <t>0.56372000</t>
  </si>
  <si>
    <t>0.59597800</t>
  </si>
  <si>
    <t>0.58699900</t>
  </si>
  <si>
    <t>0.58862600</t>
  </si>
  <si>
    <t>0.45513800</t>
  </si>
  <si>
    <t>0.45596300</t>
  </si>
  <si>
    <t>0.45269400</t>
  </si>
  <si>
    <t>8.32866400</t>
  </si>
  <si>
    <t>8.25275900</t>
  </si>
  <si>
    <t>8.40812500</t>
  </si>
  <si>
    <t>54.35405800</t>
  </si>
  <si>
    <t>61.71946500</t>
  </si>
  <si>
    <t>52.57574200</t>
  </si>
  <si>
    <t>0.26506300</t>
  </si>
  <si>
    <t>0.25426400</t>
  </si>
  <si>
    <t>0.26673900</t>
  </si>
  <si>
    <t>0.00201400</t>
  </si>
  <si>
    <t>0.00239600</t>
  </si>
  <si>
    <t>0.00232600</t>
  </si>
  <si>
    <t>1.26405800</t>
  </si>
  <si>
    <t>1.26108200</t>
  </si>
  <si>
    <t>1.26276300</t>
  </si>
  <si>
    <t>1.45444100</t>
  </si>
  <si>
    <t>1.47962500</t>
  </si>
  <si>
    <t>1.46343800</t>
  </si>
  <si>
    <t>0.57501700</t>
  </si>
  <si>
    <t>0.56720200</t>
  </si>
  <si>
    <t>0.56741800</t>
  </si>
  <si>
    <t>0.59078200</t>
  </si>
  <si>
    <t>0.59216700</t>
  </si>
  <si>
    <t>0.59039000</t>
  </si>
  <si>
    <t>0.45672000</t>
  </si>
  <si>
    <t>0.45315400</t>
  </si>
  <si>
    <t>0.45246600</t>
  </si>
  <si>
    <t>7.87299500</t>
  </si>
  <si>
    <t>7.78004800</t>
  </si>
  <si>
    <t>8.10191800</t>
  </si>
  <si>
    <t>55.44698000</t>
  </si>
  <si>
    <t>60.57754700</t>
  </si>
  <si>
    <t>67.78986100</t>
  </si>
  <si>
    <t>0.26682000</t>
  </si>
  <si>
    <t>0.23708100</t>
  </si>
  <si>
    <t>0.34843100</t>
  </si>
  <si>
    <t>0.00229900</t>
  </si>
  <si>
    <t>0.00241700</t>
  </si>
  <si>
    <t>0.00247500</t>
  </si>
  <si>
    <t>1.38747300</t>
  </si>
  <si>
    <t>1.38802400</t>
  </si>
  <si>
    <t>1.38834100</t>
  </si>
  <si>
    <t>1.61639000</t>
  </si>
  <si>
    <t>1.62642500</t>
  </si>
  <si>
    <t>1.63764400</t>
  </si>
  <si>
    <t>0.58555300</t>
  </si>
  <si>
    <t>0.58438600</t>
  </si>
  <si>
    <t>0.58017000</t>
  </si>
  <si>
    <t>0.61839200</t>
  </si>
  <si>
    <t>0.61387000</t>
  </si>
  <si>
    <t>0.62094500</t>
  </si>
  <si>
    <t>0.45587900</t>
  </si>
  <si>
    <t>0.45172700</t>
  </si>
  <si>
    <t>0.45087300</t>
  </si>
  <si>
    <t>7.86340400</t>
  </si>
  <si>
    <t>7.91139500</t>
  </si>
  <si>
    <t>7.92405000</t>
  </si>
  <si>
    <t>78.21635100</t>
  </si>
  <si>
    <t>64.46833600</t>
  </si>
  <si>
    <t>59.20061700</t>
  </si>
  <si>
    <t>0.25051700</t>
  </si>
  <si>
    <t>0.24781300</t>
  </si>
  <si>
    <t>0.25180500</t>
  </si>
  <si>
    <t>0.00238100</t>
  </si>
  <si>
    <t>0.00215200</t>
  </si>
  <si>
    <t>0.00246000</t>
  </si>
  <si>
    <t>1.27759500</t>
  </si>
  <si>
    <t>1.27728800</t>
  </si>
  <si>
    <t>1.27131000</t>
  </si>
  <si>
    <t>1.22156100</t>
  </si>
  <si>
    <t>1.20424600</t>
  </si>
  <si>
    <t>1.20659800</t>
  </si>
  <si>
    <t>0.57168700</t>
  </si>
  <si>
    <t>0.56776300</t>
  </si>
  <si>
    <t>0.57317000</t>
  </si>
  <si>
    <t>0.62515700</t>
  </si>
  <si>
    <t>0.61970900</t>
  </si>
  <si>
    <t>0.62099000</t>
  </si>
  <si>
    <t>0.48515700</t>
  </si>
  <si>
    <t>0.48181300</t>
  </si>
  <si>
    <t>0.48254100</t>
  </si>
  <si>
    <t>11.79874300</t>
  </si>
  <si>
    <t>11.28198800</t>
  </si>
  <si>
    <t>11.85774100</t>
  </si>
  <si>
    <t>42.33532500</t>
  </si>
  <si>
    <t>39.93789700</t>
  </si>
  <si>
    <t>43.10160600</t>
  </si>
  <si>
    <t>0.30255500</t>
  </si>
  <si>
    <t>0.23841400</t>
  </si>
  <si>
    <t>0.24196700</t>
  </si>
  <si>
    <t>0.00224200</t>
  </si>
  <si>
    <t>0.00250500</t>
  </si>
  <si>
    <t>0.00253700</t>
  </si>
  <si>
    <t>1.43470800</t>
  </si>
  <si>
    <t>1.43232000</t>
  </si>
  <si>
    <t>1.43908700</t>
  </si>
  <si>
    <t>0.86413100</t>
  </si>
  <si>
    <t>0.84727100</t>
  </si>
  <si>
    <t>0.87251900</t>
  </si>
  <si>
    <t>0.56891800</t>
  </si>
  <si>
    <t>0.56492300</t>
  </si>
  <si>
    <t>0.56462500</t>
  </si>
  <si>
    <t>0.61134200</t>
  </si>
  <si>
    <t>0.60442800</t>
  </si>
  <si>
    <t>0.60456800</t>
  </si>
  <si>
    <t>0.47657400</t>
  </si>
  <si>
    <t>0.47124900</t>
  </si>
  <si>
    <t>0.46876900</t>
  </si>
  <si>
    <t>9.34517200</t>
  </si>
  <si>
    <t>9.48685900</t>
  </si>
  <si>
    <t>9.31808000</t>
  </si>
  <si>
    <t>42.34455200</t>
  </si>
  <si>
    <t>37.16522500</t>
  </si>
  <si>
    <t>41.03426400</t>
  </si>
  <si>
    <t>0.26536700</t>
  </si>
  <si>
    <t>0.24596900</t>
  </si>
  <si>
    <t>0.26860800</t>
  </si>
  <si>
    <t>0.00229600</t>
  </si>
  <si>
    <t>0.00259700</t>
  </si>
  <si>
    <t>0.00261900</t>
  </si>
  <si>
    <t>1.49105900</t>
  </si>
  <si>
    <t>1.48290700</t>
  </si>
  <si>
    <t>1.49459200</t>
  </si>
  <si>
    <t>0.64910500</t>
  </si>
  <si>
    <t>0.64381500</t>
  </si>
  <si>
    <t>0.66265400</t>
  </si>
  <si>
    <t>0.56222600</t>
  </si>
  <si>
    <t>0.55882300</t>
  </si>
  <si>
    <t>0.55870100</t>
  </si>
  <si>
    <t>0.63108700</t>
  </si>
  <si>
    <t>0.62579000</t>
  </si>
  <si>
    <t>0.62865200</t>
  </si>
  <si>
    <t>0.56334700</t>
  </si>
  <si>
    <t>0.55822500</t>
  </si>
  <si>
    <t>0.55257900</t>
  </si>
  <si>
    <t>10.79184400</t>
  </si>
  <si>
    <t>10.78327500</t>
  </si>
  <si>
    <t>10.77277800</t>
  </si>
  <si>
    <t>27.77277700</t>
  </si>
  <si>
    <t>28.54449400</t>
  </si>
  <si>
    <t>25.18340600</t>
  </si>
  <si>
    <t>0.28486100</t>
  </si>
  <si>
    <t>0.37975700</t>
  </si>
  <si>
    <t>0.28628900</t>
  </si>
  <si>
    <t>0.00224300</t>
  </si>
  <si>
    <t>0.00272900</t>
  </si>
  <si>
    <t>0.00258500</t>
  </si>
  <si>
    <t>1.45343800</t>
  </si>
  <si>
    <t>1.43359700</t>
  </si>
  <si>
    <t>1.44468300</t>
  </si>
  <si>
    <t>1.35235500</t>
  </si>
  <si>
    <t>1.35951800</t>
  </si>
  <si>
    <t>1.34516100</t>
  </si>
  <si>
    <t>0.59149500</t>
  </si>
  <si>
    <t>0.58383000</t>
  </si>
  <si>
    <t>0.59424600</t>
  </si>
  <si>
    <t>0.63183000</t>
  </si>
  <si>
    <t>0.61820600</t>
  </si>
  <si>
    <t>0.62784500</t>
  </si>
  <si>
    <t>0.46798700</t>
  </si>
  <si>
    <t>0.46220600</t>
  </si>
  <si>
    <t>0.46467600</t>
  </si>
  <si>
    <t>8.88086300</t>
  </si>
  <si>
    <t>8.76177400</t>
  </si>
  <si>
    <t>8.73346800</t>
  </si>
  <si>
    <t>46.32164400</t>
  </si>
  <si>
    <t>59.60217600</t>
  </si>
  <si>
    <t>64.11784100</t>
  </si>
  <si>
    <t>0.31432100</t>
  </si>
  <si>
    <t>0.33021000</t>
  </si>
  <si>
    <t>0.28889000</t>
  </si>
  <si>
    <t>0.00268300</t>
  </si>
  <si>
    <t>0.00241100</t>
  </si>
  <si>
    <t>0.00260300</t>
  </si>
  <si>
    <t>1.55203800</t>
  </si>
  <si>
    <t>1.54405300</t>
  </si>
  <si>
    <t>1.54608400</t>
  </si>
  <si>
    <t>1.91325500</t>
  </si>
  <si>
    <t>1.89529500</t>
  </si>
  <si>
    <t>1.88636600</t>
  </si>
  <si>
    <t>0.60020100</t>
  </si>
  <si>
    <t>0.59612900</t>
  </si>
  <si>
    <t>0.59509400</t>
  </si>
  <si>
    <t>0.63752100</t>
  </si>
  <si>
    <t>0.63582900</t>
  </si>
  <si>
    <t>0.63594200</t>
  </si>
  <si>
    <t>0.46327800</t>
  </si>
  <si>
    <t>0.46278400</t>
  </si>
  <si>
    <t>0.46242300</t>
  </si>
  <si>
    <t>8.25812600</t>
  </si>
  <si>
    <t>8.30578300</t>
  </si>
  <si>
    <t>8.11391400</t>
  </si>
  <si>
    <t>72.18486200</t>
  </si>
  <si>
    <t>79.20329200</t>
  </si>
  <si>
    <t>62.90177200</t>
  </si>
  <si>
    <t>0.41265900</t>
  </si>
  <si>
    <t>0.48245700</t>
  </si>
  <si>
    <t>0.36370500</t>
  </si>
  <si>
    <t>0.00262500</t>
  </si>
  <si>
    <t>0.00264700</t>
  </si>
  <si>
    <t>0.00268800</t>
  </si>
  <si>
    <t>1.57171900</t>
  </si>
  <si>
    <t>1.58558700</t>
  </si>
  <si>
    <t>1.57388600</t>
  </si>
  <si>
    <t>1.14938400</t>
  </si>
  <si>
    <t>1.14684800</t>
  </si>
  <si>
    <t>1.15728400</t>
  </si>
  <si>
    <t>0.58640100</t>
  </si>
  <si>
    <t>0.58031600</t>
  </si>
  <si>
    <t>0.57976000</t>
  </si>
  <si>
    <t>0.64309200</t>
  </si>
  <si>
    <t>0.63619900</t>
  </si>
  <si>
    <t>0.63833000</t>
  </si>
  <si>
    <t>0.48374700</t>
  </si>
  <si>
    <t>0.48396100</t>
  </si>
  <si>
    <t>0.48008800</t>
  </si>
  <si>
    <t>9.32862600</t>
  </si>
  <si>
    <t>9.36002600</t>
  </si>
  <si>
    <t>9.32603500</t>
  </si>
  <si>
    <t>47.77341000</t>
  </si>
  <si>
    <t>54.47378100</t>
  </si>
  <si>
    <t>42.37929800</t>
  </si>
  <si>
    <t>0.34105200</t>
  </si>
  <si>
    <t>0.36252300</t>
  </si>
  <si>
    <t>0.52420600</t>
  </si>
  <si>
    <t>0.00274900</t>
  </si>
  <si>
    <t>0.00282500</t>
  </si>
  <si>
    <t>0.00266100</t>
  </si>
  <si>
    <t>1.52896400</t>
  </si>
  <si>
    <t>1.50797600</t>
  </si>
  <si>
    <t>1.52984600</t>
  </si>
  <si>
    <t>2.07432600</t>
  </si>
  <si>
    <t>2.11141300</t>
  </si>
  <si>
    <t>2.11095500</t>
  </si>
  <si>
    <t>0.61247600</t>
  </si>
  <si>
    <t>0.60782600</t>
  </si>
  <si>
    <t>0.60797500</t>
  </si>
  <si>
    <t>0.69494200</t>
  </si>
  <si>
    <t>0.69280900</t>
  </si>
  <si>
    <t>0.68199200</t>
  </si>
  <si>
    <t>0.47108200</t>
  </si>
  <si>
    <t>0.46862200</t>
  </si>
  <si>
    <t>0.47406000</t>
  </si>
  <si>
    <t>8.36624500</t>
  </si>
  <si>
    <t>8.33423800</t>
  </si>
  <si>
    <t>8.31687700</t>
  </si>
  <si>
    <t>71.80495300</t>
  </si>
  <si>
    <t>84.69005500</t>
  </si>
  <si>
    <t>76.68890400</t>
  </si>
  <si>
    <t>1.34335700</t>
  </si>
  <si>
    <t>1.50367100</t>
  </si>
  <si>
    <t>1.46651400</t>
  </si>
  <si>
    <t>0.00379200</t>
  </si>
  <si>
    <t>0.00440000</t>
  </si>
  <si>
    <t>0.00430000</t>
  </si>
  <si>
    <t>2.20094000</t>
  </si>
  <si>
    <t>2.20134800</t>
  </si>
  <si>
    <t>2.20654400</t>
  </si>
  <si>
    <t>1.88697400</t>
  </si>
  <si>
    <t>1.88139700</t>
  </si>
  <si>
    <t>1.89285700</t>
  </si>
  <si>
    <t>0.59404700</t>
  </si>
  <si>
    <t>0.59022700</t>
  </si>
  <si>
    <t>0.58933600</t>
  </si>
  <si>
    <t>0.91649900</t>
  </si>
  <si>
    <t>0.91343200</t>
  </si>
  <si>
    <t>0.96920200</t>
  </si>
  <si>
    <t>0.58237400</t>
  </si>
  <si>
    <t>0.57691600</t>
  </si>
  <si>
    <t>0.57063800</t>
  </si>
  <si>
    <t>12.10396000</t>
  </si>
  <si>
    <t>11.88922200</t>
  </si>
  <si>
    <t>11.79210600</t>
  </si>
  <si>
    <t>38.60163700</t>
  </si>
  <si>
    <t>39.49871800</t>
  </si>
  <si>
    <t>37.98445800</t>
  </si>
  <si>
    <t>9.21077600</t>
  </si>
  <si>
    <t>9.20178600</t>
  </si>
  <si>
    <t>9.15968600</t>
  </si>
  <si>
    <t>0.00708600</t>
  </si>
  <si>
    <t>0.00691900</t>
  </si>
  <si>
    <t>0.00699100</t>
  </si>
  <si>
    <t>4.27022500</t>
  </si>
  <si>
    <t>4.40115300</t>
  </si>
  <si>
    <t>4.37240700</t>
  </si>
  <si>
    <t>5.31821700</t>
  </si>
  <si>
    <t>5.47095100</t>
  </si>
  <si>
    <t>5.33006400</t>
  </si>
  <si>
    <t>0.67959600</t>
  </si>
  <si>
    <t>0.67666900</t>
  </si>
  <si>
    <t>0.68481300</t>
  </si>
  <si>
    <t>2.74767500</t>
  </si>
  <si>
    <t>2.75379700</t>
  </si>
  <si>
    <t>2.65121400</t>
  </si>
  <si>
    <t>0.88884200</t>
  </si>
  <si>
    <t>0.88763700</t>
  </si>
  <si>
    <t>0.94295900</t>
  </si>
  <si>
    <t>16.89187900</t>
  </si>
  <si>
    <t>16.94778200</t>
  </si>
  <si>
    <t>17.01143100</t>
  </si>
  <si>
    <t>70.61635600</t>
  </si>
  <si>
    <t>60.91825200</t>
  </si>
  <si>
    <t>55.79378200</t>
  </si>
  <si>
    <t>28.37954200</t>
  </si>
  <si>
    <t>28.17260100</t>
  </si>
  <si>
    <t>28.62874100</t>
  </si>
  <si>
    <t>0.01105300</t>
  </si>
  <si>
    <t>0.00785900</t>
  </si>
  <si>
    <t>0.00957900</t>
  </si>
  <si>
    <t>6.47175800</t>
  </si>
  <si>
    <t>6.39500300</t>
  </si>
  <si>
    <t>6.47902400</t>
  </si>
  <si>
    <t>11.39668000</t>
  </si>
  <si>
    <t>11.52951900</t>
  </si>
  <si>
    <t>11.48403900</t>
  </si>
  <si>
    <t>0.81369500</t>
  </si>
  <si>
    <t>0.81115700</t>
  </si>
  <si>
    <t>0.81193400</t>
  </si>
  <si>
    <t>8.04502100</t>
  </si>
  <si>
    <t>7.71224900</t>
  </si>
  <si>
    <t>7.88408600</t>
  </si>
  <si>
    <t>1.70580000</t>
  </si>
  <si>
    <t>1.65444900</t>
  </si>
  <si>
    <t>1.32375400</t>
  </si>
  <si>
    <t>22.68674700</t>
  </si>
  <si>
    <t>22.64291700</t>
  </si>
  <si>
    <t>22.45623500</t>
  </si>
  <si>
    <t>78.85741000</t>
  </si>
  <si>
    <t>78.79689900</t>
  </si>
  <si>
    <t>84.70143100</t>
  </si>
  <si>
    <t>64.40962900</t>
  </si>
  <si>
    <t>63.68310200</t>
  </si>
  <si>
    <t>63.37271500</t>
  </si>
  <si>
    <t>0.01244600</t>
  </si>
  <si>
    <t>0.01296500</t>
  </si>
  <si>
    <t>0.01229300</t>
  </si>
  <si>
    <t>8.50636200</t>
  </si>
  <si>
    <t>8.57964600</t>
  </si>
  <si>
    <t>8.53942600</t>
  </si>
  <si>
    <t>19.99660600</t>
  </si>
  <si>
    <t>20.10320600</t>
  </si>
  <si>
    <t>20.34646600</t>
  </si>
  <si>
    <t>0.93108600</t>
  </si>
  <si>
    <t>0.92936600</t>
  </si>
  <si>
    <t>0.92991700</t>
  </si>
  <si>
    <t>17.19344300</t>
  </si>
  <si>
    <t>17.63996600</t>
  </si>
  <si>
    <t>18.03879800</t>
  </si>
  <si>
    <t>3.24976400</t>
  </si>
  <si>
    <t>2.49894300</t>
  </si>
  <si>
    <t>2.80970700</t>
  </si>
  <si>
    <t>28.35026000</t>
  </si>
  <si>
    <t>62</t>
  </si>
  <si>
    <t>28.20445000</t>
  </si>
  <si>
    <t>28.33793000</t>
  </si>
  <si>
    <t>77.87772300</t>
  </si>
  <si>
    <t>95.31473500</t>
  </si>
  <si>
    <t>86.19636700</t>
  </si>
  <si>
    <t>127.86679500</t>
  </si>
  <si>
    <t>128.43269200</t>
  </si>
  <si>
    <t>126.32227100</t>
  </si>
  <si>
    <t>0.01434900</t>
  </si>
  <si>
    <t>0.01458000</t>
  </si>
  <si>
    <t>0.01436200</t>
  </si>
  <si>
    <t>10.54328900</t>
  </si>
  <si>
    <t>10.46990300</t>
  </si>
  <si>
    <t>10.52723000</t>
  </si>
  <si>
    <t>36.58332500</t>
  </si>
  <si>
    <t>37.94002100</t>
  </si>
  <si>
    <t>36.90141900</t>
  </si>
  <si>
    <t>1.17776000</t>
  </si>
  <si>
    <t>1.17389500</t>
  </si>
  <si>
    <t>1.17285800</t>
  </si>
  <si>
    <t>33.00954300</t>
  </si>
  <si>
    <t>29.98911600</t>
  </si>
  <si>
    <t>32.82654200</t>
  </si>
  <si>
    <t>4.05732700</t>
  </si>
  <si>
    <t>3.06765300</t>
  </si>
  <si>
    <t>3.09307000</t>
  </si>
  <si>
    <t>33.74652700</t>
  </si>
  <si>
    <t>34.29749200</t>
  </si>
  <si>
    <t>33.43645100</t>
  </si>
  <si>
    <t>80</t>
  </si>
  <si>
    <t>124.04334500</t>
  </si>
  <si>
    <t>118.86454500</t>
  </si>
  <si>
    <t>78</t>
  </si>
  <si>
    <t>105.72825600</t>
  </si>
  <si>
    <t>206.71707300</t>
  </si>
  <si>
    <t>209.89323900</t>
  </si>
  <si>
    <t>208.05126300</t>
  </si>
  <si>
    <t>0.01891000</t>
  </si>
  <si>
    <t>0.01868500</t>
  </si>
  <si>
    <t>0.01901900</t>
  </si>
  <si>
    <t>12.66744000</t>
  </si>
  <si>
    <t>12.63961200</t>
  </si>
  <si>
    <t>12.58201800</t>
  </si>
  <si>
    <t>48.88285000</t>
  </si>
  <si>
    <t>48.89777300</t>
  </si>
  <si>
    <t>53.86827400</t>
  </si>
  <si>
    <t>1.25482100</t>
  </si>
  <si>
    <t>1.25446200</t>
  </si>
  <si>
    <t>1.25646000</t>
  </si>
  <si>
    <t>54.43707100</t>
  </si>
  <si>
    <t>55.35905200</t>
  </si>
  <si>
    <t>56.82181400</t>
  </si>
  <si>
    <t>4.64522800</t>
  </si>
  <si>
    <t>6.24089400</t>
  </si>
  <si>
    <t>7.24564700</t>
  </si>
  <si>
    <t>40.17450200</t>
  </si>
  <si>
    <t>40.28030600</t>
  </si>
  <si>
    <t>39.57048300</t>
  </si>
  <si>
    <t>97</t>
  </si>
  <si>
    <t>95.41865100</t>
  </si>
  <si>
    <t>117.37502400</t>
  </si>
  <si>
    <t>112.40469400</t>
  </si>
  <si>
    <t>350.13394300</t>
  </si>
  <si>
    <t>350.09433100</t>
  </si>
  <si>
    <t>345.22839300</t>
  </si>
  <si>
    <t>0.01987200</t>
  </si>
  <si>
    <t>0.02001900</t>
  </si>
  <si>
    <t>0.02004100</t>
  </si>
  <si>
    <t>14.23663600</t>
  </si>
  <si>
    <t>14.23128000</t>
  </si>
  <si>
    <t>14.35266000</t>
  </si>
  <si>
    <t>106.68690500</t>
  </si>
  <si>
    <t>103.96908200</t>
  </si>
  <si>
    <t>105.56638600</t>
  </si>
  <si>
    <t>2.36487400</t>
  </si>
  <si>
    <t>2.35039300</t>
  </si>
  <si>
    <t>2.35334700</t>
  </si>
  <si>
    <t>119.43074400</t>
  </si>
  <si>
    <t>122.04964800</t>
  </si>
  <si>
    <t>114.08376900</t>
  </si>
  <si>
    <t>5.12194000</t>
  </si>
  <si>
    <t>6.01246300</t>
  </si>
  <si>
    <t>5.45676000</t>
  </si>
  <si>
    <t>102</t>
  </si>
  <si>
    <t>44.18479000</t>
  </si>
  <si>
    <t>44.53129200</t>
  </si>
  <si>
    <t>101</t>
  </si>
  <si>
    <t>44.62447900</t>
  </si>
  <si>
    <t>206.24087400</t>
  </si>
  <si>
    <t>189.30843300</t>
  </si>
  <si>
    <t>98</t>
  </si>
  <si>
    <t>193.81944900</t>
  </si>
  <si>
    <t>460.78933400</t>
  </si>
  <si>
    <t>459.56045900</t>
  </si>
  <si>
    <t>453.65559400</t>
  </si>
  <si>
    <t>0.03899700</t>
  </si>
  <si>
    <t>0.03901400</t>
  </si>
  <si>
    <t>0.03875600</t>
  </si>
  <si>
    <t>16.80614300</t>
  </si>
  <si>
    <t>162</t>
  </si>
  <si>
    <t>16.64771200</t>
  </si>
  <si>
    <t>16.63566500</t>
  </si>
  <si>
    <t>97.18278000</t>
  </si>
  <si>
    <t>97.46205100</t>
  </si>
  <si>
    <t>107.69010400</t>
  </si>
  <si>
    <t>1.25155500</t>
  </si>
  <si>
    <t>1.24731000</t>
  </si>
  <si>
    <t>1.24464700</t>
  </si>
  <si>
    <t>131.17054200</t>
  </si>
  <si>
    <t>125.31276300</t>
  </si>
  <si>
    <t>140.28286200</t>
  </si>
  <si>
    <t>29.52909900</t>
  </si>
  <si>
    <t>29.58012100</t>
  </si>
  <si>
    <t>30.85859800</t>
  </si>
  <si>
    <t>49.60797500</t>
  </si>
  <si>
    <t>50.06005900</t>
  </si>
  <si>
    <t xml:space="preserve">160 </t>
  </si>
  <si>
    <t>50.67105300</t>
  </si>
  <si>
    <t>123.19224700</t>
  </si>
  <si>
    <t>104.18252700</t>
  </si>
  <si>
    <t>111.32216300</t>
  </si>
  <si>
    <t>683.68311300</t>
  </si>
  <si>
    <t>688.60688700</t>
  </si>
  <si>
    <t>676.17747300</t>
  </si>
  <si>
    <t>0.03335000</t>
  </si>
  <si>
    <t>0.03382400</t>
  </si>
  <si>
    <t>0.03347100</t>
  </si>
  <si>
    <t>18.24676400</t>
  </si>
  <si>
    <t>130</t>
  </si>
  <si>
    <t>18.55195400</t>
  </si>
  <si>
    <t>132</t>
  </si>
  <si>
    <t>18.57537000</t>
  </si>
  <si>
    <t>137.35463800</t>
  </si>
  <si>
    <t>141.52797100</t>
  </si>
  <si>
    <t>139.47641100</t>
  </si>
  <si>
    <t>1.92785000</t>
  </si>
  <si>
    <t>1.92768100</t>
  </si>
  <si>
    <t>1.92641900</t>
  </si>
  <si>
    <t>148.89920400</t>
  </si>
  <si>
    <t>163.08229600</t>
  </si>
  <si>
    <t>156.22473200</t>
  </si>
  <si>
    <t>14.38569100</t>
  </si>
  <si>
    <t>15.02175000</t>
  </si>
  <si>
    <t>14.10308800</t>
  </si>
  <si>
    <t>55.71131700</t>
  </si>
  <si>
    <t>136</t>
  </si>
  <si>
    <t>56.24497700</t>
  </si>
  <si>
    <t>56.40876300</t>
  </si>
  <si>
    <t>174.15926400</t>
  </si>
  <si>
    <t>139.18776900</t>
  </si>
  <si>
    <t>142.28848400</t>
  </si>
  <si>
    <t>907.57935900</t>
  </si>
  <si>
    <t>898.56191800</t>
  </si>
  <si>
    <t>909.34196200</t>
  </si>
  <si>
    <t>0.05682900</t>
  </si>
  <si>
    <t>0.05677500</t>
  </si>
  <si>
    <t>0.05648400</t>
  </si>
  <si>
    <t>191</t>
  </si>
  <si>
    <t>20.44239000</t>
  </si>
  <si>
    <t>190</t>
  </si>
  <si>
    <t>20.37815000</t>
  </si>
  <si>
    <t>192</t>
  </si>
  <si>
    <t>20.77728000</t>
  </si>
  <si>
    <t>170.87672500</t>
  </si>
  <si>
    <t>171.73749400</t>
  </si>
  <si>
    <t>188</t>
  </si>
  <si>
    <t>174.83017800</t>
  </si>
  <si>
    <t>1.66157000</t>
  </si>
  <si>
    <t>1.65533200</t>
  </si>
  <si>
    <t>1.65527600</t>
  </si>
  <si>
    <t>217.65433600</t>
  </si>
  <si>
    <t>231.27539400</t>
  </si>
  <si>
    <t>217.19289500</t>
  </si>
  <si>
    <t>39.99706600</t>
  </si>
  <si>
    <t>42.62515300</t>
  </si>
  <si>
    <t>41.02917900</t>
  </si>
  <si>
    <t>189</t>
  </si>
  <si>
    <t>62.23272300</t>
  </si>
  <si>
    <t>62.31311400</t>
  </si>
  <si>
    <t>62.29421400</t>
  </si>
  <si>
    <t>121.66348700</t>
  </si>
  <si>
    <t>123.69808500</t>
  </si>
  <si>
    <t>144.79973400</t>
  </si>
  <si>
    <t>991.59398200</t>
  </si>
  <si>
    <t>998.66854400</t>
  </si>
  <si>
    <t>990.96629300</t>
  </si>
  <si>
    <t>0.03230200</t>
  </si>
  <si>
    <t>0.03217500</t>
  </si>
  <si>
    <t>0.03352500</t>
  </si>
  <si>
    <t>20.58573900</t>
  </si>
  <si>
    <t>20.50246500</t>
  </si>
  <si>
    <t>20.70599400</t>
  </si>
  <si>
    <t>344.90714500</t>
  </si>
  <si>
    <t>324.81915700</t>
  </si>
  <si>
    <t>124</t>
  </si>
  <si>
    <t>342.66721100</t>
  </si>
  <si>
    <t>6.01475500</t>
  </si>
  <si>
    <t>6.05673300</t>
  </si>
  <si>
    <t>6.01270900</t>
  </si>
  <si>
    <t>670.88321200</t>
  </si>
  <si>
    <t>657.04234700</t>
  </si>
  <si>
    <t>677.69215800</t>
  </si>
  <si>
    <t>13.06404400</t>
  </si>
  <si>
    <t>13.34431500</t>
  </si>
  <si>
    <t>13.92616600</t>
  </si>
  <si>
    <t>63.17141100</t>
  </si>
  <si>
    <t>62.81902300</t>
  </si>
  <si>
    <t>62.50291400</t>
  </si>
  <si>
    <t>249.37854100</t>
  </si>
  <si>
    <t>284.37940700</t>
  </si>
  <si>
    <t>250.29775900</t>
  </si>
  <si>
    <t>0.08903700</t>
  </si>
  <si>
    <t>0.08917900</t>
  </si>
  <si>
    <t>0.08924600</t>
  </si>
  <si>
    <t>44.16630700</t>
  </si>
  <si>
    <t>44.33528600</t>
  </si>
  <si>
    <t>43.75068500</t>
  </si>
  <si>
    <t>9813.83994300</t>
  </si>
  <si>
    <t>19.13857000</t>
  </si>
  <si>
    <t>19.21424900</t>
  </si>
  <si>
    <t>19.22452800</t>
  </si>
  <si>
    <t>63.13044200</t>
  </si>
  <si>
    <t>182</t>
  </si>
  <si>
    <t>65.69030700</t>
  </si>
  <si>
    <t>61.75983100</t>
  </si>
  <si>
    <t>220</t>
  </si>
  <si>
    <t>121.78175200</t>
  </si>
  <si>
    <t>214</t>
  </si>
  <si>
    <t>122.24487400</t>
  </si>
  <si>
    <t>217</t>
  </si>
  <si>
    <t>121.50083800</t>
  </si>
  <si>
    <t>621.99414200</t>
  </si>
  <si>
    <t>746.72802500</t>
  </si>
  <si>
    <t>638.07956800</t>
  </si>
  <si>
    <t>0.22860600</t>
  </si>
  <si>
    <t>0.22956500</t>
  </si>
  <si>
    <t>0.22799400</t>
  </si>
  <si>
    <t>63.10335700</t>
  </si>
  <si>
    <t>63.06137300</t>
  </si>
  <si>
    <t>64.50148100</t>
  </si>
  <si>
    <t>12.45117100</t>
  </si>
  <si>
    <t>12.46452400</t>
  </si>
  <si>
    <t>12.43082300</t>
  </si>
  <si>
    <t>228.40045500</t>
  </si>
  <si>
    <t>238.36291600</t>
  </si>
  <si>
    <t>244.01710300</t>
  </si>
  <si>
    <t>211</t>
  </si>
  <si>
    <t>182.61624100</t>
  </si>
  <si>
    <t>213</t>
  </si>
  <si>
    <t>184.00963300</t>
  </si>
  <si>
    <t>216</t>
  </si>
  <si>
    <t>183.06857000</t>
  </si>
  <si>
    <t>500</t>
  </si>
  <si>
    <t>693.80573800</t>
  </si>
  <si>
    <t>820.14445900</t>
  </si>
  <si>
    <t>501</t>
  </si>
  <si>
    <t>867.04777500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</si>
</sst>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0000"/>
    <numFmt numFmtId="169" formatCode="#,##0.0000000"/>
    <numFmt numFmtId="173" formatCode="#,##0.000"/>
  </numFmts>
  <fonts count="12">
    <font>
      <sz val="10"/>
      <color rgb="FF000000"/>
      <name val="Arial"/>
      <scheme val="minor"/>
    </font>
    <font>
      <sz val="10"/>
      <color rgb="FF000000"/>
      <name val="Roboto"/>
    </font>
    <font>
      <sz val="10"/>
      <name val="Arial"/>
    </font>
    <font>
      <b/>
      <sz val="10"/>
      <color theme="1"/>
      <name val="Roboto"/>
    </font>
    <font>
      <sz val="10"/>
      <color theme="1"/>
      <name val="Roboto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</font>
    <font>
      <sz val="10"/>
      <name val="Arial"/>
      <family val="2"/>
    </font>
    <font>
      <sz val="10"/>
      <color rgb="FF1F1F1F"/>
      <name val="Monospace"/>
    </font>
    <font>
      <sz val="10"/>
      <color rgb="FF1F1F1F"/>
      <name val="Arial"/>
      <family val="2"/>
    </font>
    <font>
      <sz val="10"/>
      <color rgb="FF000000"/>
      <name val="Monospace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49" fontId="5" fillId="0" borderId="4" xfId="0" applyNumberFormat="1" applyFont="1" applyBorder="1" applyAlignment="1">
      <alignment horizontal="center"/>
    </xf>
    <xf numFmtId="49" fontId="3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6" fillId="0" borderId="4" xfId="0" applyFont="1" applyBorder="1"/>
    <xf numFmtId="0" fontId="4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4" fillId="0" borderId="4" xfId="0" applyFont="1" applyBorder="1" applyAlignment="1">
      <alignment horizontal="right" vertical="center"/>
    </xf>
    <xf numFmtId="0" fontId="5" fillId="0" borderId="4" xfId="0" applyFont="1" applyBorder="1" applyAlignment="1">
      <alignment horizontal="right"/>
    </xf>
    <xf numFmtId="49" fontId="4" fillId="0" borderId="4" xfId="0" applyNumberFormat="1" applyFont="1" applyBorder="1" applyAlignment="1">
      <alignment horizontal="right" vertical="center"/>
    </xf>
    <xf numFmtId="0" fontId="2" fillId="0" borderId="5" xfId="0" applyFont="1" applyBorder="1"/>
    <xf numFmtId="0" fontId="2" fillId="0" borderId="3" xfId="0" applyFont="1" applyBorder="1"/>
    <xf numFmtId="49" fontId="4" fillId="0" borderId="2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6" fillId="0" borderId="2" xfId="0" applyFont="1" applyBorder="1"/>
    <xf numFmtId="0" fontId="2" fillId="0" borderId="6" xfId="0" applyFont="1" applyBorder="1"/>
    <xf numFmtId="49" fontId="3" fillId="0" borderId="2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2" fillId="0" borderId="7" xfId="0" applyFont="1" applyBorder="1"/>
    <xf numFmtId="0" fontId="4" fillId="0" borderId="1" xfId="0" applyFont="1" applyBorder="1" applyAlignment="1">
      <alignment horizontal="center" vertical="center"/>
    </xf>
    <xf numFmtId="169" fontId="1" fillId="0" borderId="1" xfId="0" applyNumberFormat="1" applyFont="1" applyBorder="1" applyAlignment="1">
      <alignment horizontal="center" vertical="center"/>
    </xf>
    <xf numFmtId="169" fontId="1" fillId="0" borderId="2" xfId="0" applyNumberFormat="1" applyFont="1" applyBorder="1" applyAlignment="1">
      <alignment horizontal="center" vertical="center"/>
    </xf>
    <xf numFmtId="169" fontId="1" fillId="0" borderId="6" xfId="0" applyNumberFormat="1" applyFont="1" applyBorder="1" applyAlignment="1">
      <alignment horizontal="center" vertical="center"/>
    </xf>
    <xf numFmtId="169" fontId="1" fillId="0" borderId="3" xfId="0" applyNumberFormat="1" applyFont="1" applyBorder="1" applyAlignment="1">
      <alignment horizontal="center" vertical="center"/>
    </xf>
    <xf numFmtId="169" fontId="8" fillId="0" borderId="7" xfId="0" applyNumberFormat="1" applyFont="1" applyBorder="1" applyAlignment="1">
      <alignment horizontal="center" vertical="center"/>
    </xf>
    <xf numFmtId="169" fontId="1" fillId="0" borderId="1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173" fontId="1" fillId="0" borderId="8" xfId="0" applyNumberFormat="1" applyFont="1" applyBorder="1" applyAlignment="1">
      <alignment horizontal="center" vertical="center"/>
    </xf>
    <xf numFmtId="173" fontId="9" fillId="2" borderId="8" xfId="0" applyNumberFormat="1" applyFont="1" applyFill="1" applyBorder="1" applyAlignment="1">
      <alignment horizontal="center" vertical="center"/>
    </xf>
    <xf numFmtId="173" fontId="10" fillId="2" borderId="8" xfId="0" applyNumberFormat="1" applyFont="1" applyFill="1" applyBorder="1" applyAlignment="1">
      <alignment horizontal="center" vertical="center"/>
    </xf>
    <xf numFmtId="173" fontId="1" fillId="2" borderId="8" xfId="0" applyNumberFormat="1" applyFont="1" applyFill="1" applyBorder="1" applyAlignment="1">
      <alignment horizontal="center" vertical="center"/>
    </xf>
    <xf numFmtId="173" fontId="11" fillId="2" borderId="8" xfId="0" applyNumberFormat="1" applyFont="1" applyFill="1" applyBorder="1" applyAlignment="1">
      <alignment horizontal="center" vertical="center"/>
    </xf>
    <xf numFmtId="0" fontId="1" fillId="0" borderId="8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H1001"/>
  <sheetViews>
    <sheetView tabSelected="1" workbookViewId="0">
      <selection activeCell="B30" sqref="B30:M40"/>
    </sheetView>
  </sheetViews>
  <sheetFormatPr defaultColWidth="12.5703125" defaultRowHeight="15.75" customHeight="1"/>
  <cols>
    <col min="1" max="1" width="14.5703125" bestFit="1" customWidth="1"/>
    <col min="2" max="2" width="15.5703125" bestFit="1" customWidth="1"/>
    <col min="3" max="13" width="21.7109375" customWidth="1"/>
  </cols>
  <sheetData>
    <row r="1" spans="1:34" ht="15.75" customHeight="1">
      <c r="A1" s="30" t="s">
        <v>0</v>
      </c>
      <c r="B1" s="31" t="s">
        <v>1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3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4" ht="15.75" customHeight="1">
      <c r="A2" s="34"/>
      <c r="B2" s="35" t="s">
        <v>2</v>
      </c>
      <c r="C2" s="35" t="s">
        <v>3</v>
      </c>
      <c r="D2" s="35" t="s">
        <v>4</v>
      </c>
      <c r="E2" s="35" t="s">
        <v>5</v>
      </c>
      <c r="F2" s="35" t="s">
        <v>6</v>
      </c>
      <c r="G2" s="35" t="s">
        <v>7</v>
      </c>
      <c r="H2" s="35" t="s">
        <v>8</v>
      </c>
      <c r="I2" s="35" t="s">
        <v>9</v>
      </c>
      <c r="J2" s="35" t="s">
        <v>10</v>
      </c>
      <c r="K2" s="35" t="s">
        <v>11</v>
      </c>
      <c r="L2" s="35" t="s">
        <v>12</v>
      </c>
      <c r="M2" s="35" t="s">
        <v>13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spans="1:34" ht="15.75" customHeight="1">
      <c r="A3" s="43">
        <v>1</v>
      </c>
      <c r="B3" s="43">
        <v>5</v>
      </c>
      <c r="C3" s="38">
        <v>8.6569500000000001E-3</v>
      </c>
      <c r="D3" s="39">
        <v>8.4634600000000008E-3</v>
      </c>
      <c r="E3" s="38">
        <v>8.2029000000000008E-3</v>
      </c>
      <c r="F3" s="38">
        <v>7.2698299999999997E-3</v>
      </c>
      <c r="G3" s="38">
        <v>7.0994700000000001E-3</v>
      </c>
      <c r="H3" s="38">
        <v>5.60159E-3</v>
      </c>
      <c r="I3" s="38">
        <v>7.75233E-3</v>
      </c>
      <c r="J3" s="38">
        <v>6.6995500000000003E-3</v>
      </c>
      <c r="K3" s="39">
        <v>5.7514200000000001E-3</v>
      </c>
      <c r="L3" s="39">
        <v>6.10634E-3</v>
      </c>
      <c r="M3" s="39">
        <v>7.16038E-3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spans="1:34" ht="15.75" customHeight="1">
      <c r="A4" s="43">
        <v>2</v>
      </c>
      <c r="B4" s="43">
        <v>3</v>
      </c>
      <c r="C4" s="38">
        <v>1.186864E-2</v>
      </c>
      <c r="D4" s="38">
        <v>1.214668E-2</v>
      </c>
      <c r="E4" s="38">
        <v>1.280069E-2</v>
      </c>
      <c r="F4" s="38">
        <v>8.9367800000000001E-3</v>
      </c>
      <c r="G4" s="38">
        <v>1.464158E-2</v>
      </c>
      <c r="H4" s="38">
        <v>1.8454209999999999E-2</v>
      </c>
      <c r="I4" s="38">
        <v>8.0429899999999999E-3</v>
      </c>
      <c r="J4" s="38">
        <v>1.2239989999999999E-2</v>
      </c>
      <c r="K4" s="38">
        <v>8.08444E-3</v>
      </c>
      <c r="L4" s="38">
        <v>1.359401E-2</v>
      </c>
      <c r="M4" s="38">
        <v>1.2081E-2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spans="1:34" ht="15.75" customHeight="1">
      <c r="A5" s="43">
        <v>3</v>
      </c>
      <c r="B5" s="43">
        <v>3</v>
      </c>
      <c r="C5" s="38">
        <v>1.454859E-2</v>
      </c>
      <c r="D5" s="38">
        <v>1.270778E-2</v>
      </c>
      <c r="E5" s="38">
        <v>1.344181E-2</v>
      </c>
      <c r="F5" s="38">
        <v>3.7087000000000002E-2</v>
      </c>
      <c r="G5" s="38">
        <v>2.2766620000000001E-2</v>
      </c>
      <c r="H5" s="38">
        <v>2.1581139999999999E-2</v>
      </c>
      <c r="I5" s="38">
        <v>1.372346E-2</v>
      </c>
      <c r="J5" s="38">
        <v>1.5588970000000001E-2</v>
      </c>
      <c r="K5" s="38">
        <v>1.3664569999999999E-2</v>
      </c>
      <c r="L5" s="38">
        <v>1.154906E-2</v>
      </c>
      <c r="M5" s="38">
        <v>1.7665899999999998E-2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spans="1:34" ht="15.75" customHeight="1">
      <c r="A6" s="43">
        <v>4</v>
      </c>
      <c r="B6" s="43">
        <v>3</v>
      </c>
      <c r="C6" s="38">
        <v>1.7279829999999999E-2</v>
      </c>
      <c r="D6" s="38">
        <v>1.8758360000000002E-2</v>
      </c>
      <c r="E6" s="38">
        <v>1.5789029999999999E-2</v>
      </c>
      <c r="F6" s="38">
        <v>1.837105E-2</v>
      </c>
      <c r="G6" s="38">
        <v>1.5830759999999999E-2</v>
      </c>
      <c r="H6" s="38">
        <v>1.4747659999999999E-2</v>
      </c>
      <c r="I6" s="38">
        <v>1.5355769999999999E-2</v>
      </c>
      <c r="J6" s="38">
        <v>1.7011849999999999E-2</v>
      </c>
      <c r="K6" s="38">
        <v>1.6807889999999999E-2</v>
      </c>
      <c r="L6" s="38">
        <v>1.9671060000000001E-2</v>
      </c>
      <c r="M6" s="38">
        <v>1.6962330000000001E-2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 spans="1:34" ht="15.75" customHeight="1">
      <c r="A7" s="43">
        <v>5</v>
      </c>
      <c r="B7" s="43">
        <v>4</v>
      </c>
      <c r="C7" s="38">
        <v>2.578422E-2</v>
      </c>
      <c r="D7" s="38">
        <v>1.9682370000000001E-2</v>
      </c>
      <c r="E7" s="38">
        <v>3.5980030000000003E-2</v>
      </c>
      <c r="F7" s="38">
        <v>4.2512510000000003E-2</v>
      </c>
      <c r="G7" s="38">
        <v>2.1176170000000001E-2</v>
      </c>
      <c r="H7" s="38">
        <v>2.45382E-2</v>
      </c>
      <c r="I7" s="38">
        <v>2.3123769999999998E-2</v>
      </c>
      <c r="J7" s="38">
        <v>2.4916779999999999E-2</v>
      </c>
      <c r="K7" s="38">
        <v>2.459128E-2</v>
      </c>
      <c r="L7" s="38">
        <v>3.0709009999999998E-2</v>
      </c>
      <c r="M7" s="38">
        <v>2.7301430000000002E-2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 spans="1:34" ht="15.75" customHeight="1">
      <c r="A8" s="43">
        <v>6</v>
      </c>
      <c r="B8" s="43">
        <v>4</v>
      </c>
      <c r="C8" s="38">
        <v>4.6593879999999997E-2</v>
      </c>
      <c r="D8" s="38">
        <v>1.945906E-2</v>
      </c>
      <c r="E8" s="38">
        <v>1.9891450000000001E-2</v>
      </c>
      <c r="F8" s="38">
        <v>2.2844429999999999E-2</v>
      </c>
      <c r="G8" s="38">
        <v>3.3541910000000001E-2</v>
      </c>
      <c r="H8" s="38">
        <v>2.5055919999999999E-2</v>
      </c>
      <c r="I8" s="38">
        <v>2.0596030000000001E-2</v>
      </c>
      <c r="J8" s="38">
        <v>2.450536E-2</v>
      </c>
      <c r="K8" s="38">
        <v>2.3435060000000001E-2</v>
      </c>
      <c r="L8" s="38">
        <v>2.373134E-2</v>
      </c>
      <c r="M8" s="38">
        <v>2.5965439999999999E-2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 spans="1:34" ht="15.75" customHeight="1">
      <c r="A9" s="43">
        <v>7</v>
      </c>
      <c r="B9" s="43">
        <v>6</v>
      </c>
      <c r="C9" s="38">
        <v>3.9277149999999997E-2</v>
      </c>
      <c r="D9" s="38">
        <v>2.4886399999999999E-2</v>
      </c>
      <c r="E9" s="38">
        <v>3.4073739999999998E-2</v>
      </c>
      <c r="F9" s="38">
        <v>3.282301E-2</v>
      </c>
      <c r="G9" s="38">
        <v>2.4990439999999999E-2</v>
      </c>
      <c r="H9" s="38">
        <v>3.1960519999999999E-2</v>
      </c>
      <c r="I9" s="38">
        <v>2.7997069999999999E-2</v>
      </c>
      <c r="J9" s="38">
        <v>2.4832429999999999E-2</v>
      </c>
      <c r="K9" s="38">
        <v>2.4521930000000001E-2</v>
      </c>
      <c r="L9" s="38">
        <v>4.057065E-2</v>
      </c>
      <c r="M9" s="38">
        <v>3.0593329999999998E-2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15.75" customHeight="1">
      <c r="A10" s="43">
        <v>8</v>
      </c>
      <c r="B10" s="43">
        <v>4</v>
      </c>
      <c r="C10" s="38">
        <v>3.5481100000000002E-2</v>
      </c>
      <c r="D10" s="38">
        <v>3.8286729999999998E-2</v>
      </c>
      <c r="E10" s="40">
        <v>3.3357079999999997E-2</v>
      </c>
      <c r="F10" s="38">
        <v>3.2880449999999999E-2</v>
      </c>
      <c r="G10" s="38">
        <v>5.6220119999999998E-2</v>
      </c>
      <c r="H10" s="38">
        <v>3.4562099999999998E-2</v>
      </c>
      <c r="I10" s="38">
        <v>4.7881880000000002E-2</v>
      </c>
      <c r="J10" s="39">
        <v>3.7340400000000003E-2</v>
      </c>
      <c r="K10" s="38">
        <v>7.6310859999999994E-2</v>
      </c>
      <c r="L10" s="38">
        <v>3.5422879999999997E-2</v>
      </c>
      <c r="M10" s="38">
        <v>4.2774359999999997E-2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15.75" customHeight="1">
      <c r="A11" s="43">
        <v>9</v>
      </c>
      <c r="B11" s="43">
        <v>5</v>
      </c>
      <c r="C11" s="38">
        <v>5.483756E-2</v>
      </c>
      <c r="D11" s="38">
        <v>3.9695639999999997E-2</v>
      </c>
      <c r="E11" s="38">
        <v>0.10693047</v>
      </c>
      <c r="F11" s="38">
        <v>8.6851869999999998E-2</v>
      </c>
      <c r="G11" s="38">
        <v>0.12414166</v>
      </c>
      <c r="H11" s="38">
        <v>0.22897862999999999</v>
      </c>
      <c r="I11" s="38">
        <v>0.27322591000000002</v>
      </c>
      <c r="J11" s="38">
        <v>0.29791517000000001</v>
      </c>
      <c r="K11" s="38">
        <v>0.10955212</v>
      </c>
      <c r="L11" s="38">
        <v>9.5141580000000003E-2</v>
      </c>
      <c r="M11" s="38">
        <v>0.14172705999999999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15.75" customHeight="1">
      <c r="A12" s="43">
        <v>10</v>
      </c>
      <c r="B12" s="43">
        <v>8</v>
      </c>
      <c r="C12" s="38">
        <v>6.7426139999999996E-2</v>
      </c>
      <c r="D12" s="38">
        <v>5.1062829999999997E-2</v>
      </c>
      <c r="E12" s="38">
        <v>0.10488865999999999</v>
      </c>
      <c r="F12" s="38">
        <v>0.11332323</v>
      </c>
      <c r="G12" s="38">
        <v>0.15336948</v>
      </c>
      <c r="H12" s="38">
        <v>0.12451101000000001</v>
      </c>
      <c r="I12" s="38">
        <v>6.7379449999999994E-2</v>
      </c>
      <c r="J12" s="38">
        <v>0.10112678999999999</v>
      </c>
      <c r="K12" s="38">
        <v>5.9224829999999999E-2</v>
      </c>
      <c r="L12" s="38">
        <v>8.6217340000000003E-2</v>
      </c>
      <c r="M12" s="38">
        <v>9.2852970000000007E-2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15.75" customHeight="1">
      <c r="A13" s="43">
        <v>11</v>
      </c>
      <c r="B13" s="43">
        <v>9</v>
      </c>
      <c r="C13" s="38">
        <v>6.294872E-2</v>
      </c>
      <c r="D13" s="38">
        <v>6.0488319999999998E-2</v>
      </c>
      <c r="E13" s="38">
        <v>5.9992080000000003E-2</v>
      </c>
      <c r="F13" s="38">
        <v>6.4484399999999997E-2</v>
      </c>
      <c r="G13" s="38">
        <v>0.12646961000000001</v>
      </c>
      <c r="H13" s="38">
        <v>7.6997889999999999E-2</v>
      </c>
      <c r="I13" s="38">
        <v>6.7740090000000003E-2</v>
      </c>
      <c r="J13" s="38">
        <v>7.3779059999999994E-2</v>
      </c>
      <c r="K13" s="38">
        <v>6.3618809999999998E-2</v>
      </c>
      <c r="L13" s="38">
        <v>6.5061060000000004E-2</v>
      </c>
      <c r="M13" s="38">
        <v>7.2158E-2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15.75" customHeight="1">
      <c r="A14" s="43">
        <v>12</v>
      </c>
      <c r="B14" s="43">
        <v>8</v>
      </c>
      <c r="C14" s="38">
        <v>0.14744670000000001</v>
      </c>
      <c r="D14" s="38">
        <v>0.19296071000000001</v>
      </c>
      <c r="E14" s="38">
        <v>0.19009390000000001</v>
      </c>
      <c r="F14" s="38">
        <v>0.13684894</v>
      </c>
      <c r="G14" s="38">
        <v>0.19939246999999999</v>
      </c>
      <c r="H14" s="38">
        <v>9.2734880000000006E-2</v>
      </c>
      <c r="I14" s="38">
        <v>0.13320029999999999</v>
      </c>
      <c r="J14" s="38">
        <v>0.15557309999999999</v>
      </c>
      <c r="K14" s="38">
        <v>0.15641160000000001</v>
      </c>
      <c r="L14" s="38">
        <v>0.32911805999999999</v>
      </c>
      <c r="M14" s="38">
        <v>0.17337807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15.75" customHeight="1">
      <c r="A15" s="43">
        <v>13</v>
      </c>
      <c r="B15" s="43">
        <v>10</v>
      </c>
      <c r="C15" s="38">
        <v>0.15226282999999999</v>
      </c>
      <c r="D15" s="38">
        <v>0.16764608</v>
      </c>
      <c r="E15" s="38">
        <v>0.20979343</v>
      </c>
      <c r="F15" s="38">
        <v>0.17552968999999999</v>
      </c>
      <c r="G15" s="38">
        <v>0.15789863000000001</v>
      </c>
      <c r="H15" s="38">
        <v>0.23165308000000001</v>
      </c>
      <c r="I15" s="38">
        <v>0.16880321000000001</v>
      </c>
      <c r="J15" s="38">
        <v>0.17132112999999999</v>
      </c>
      <c r="K15" s="38">
        <v>0.21080202000000001</v>
      </c>
      <c r="L15" s="38">
        <v>0.23208587</v>
      </c>
      <c r="M15" s="38">
        <v>0.18777959999999999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15.75" customHeight="1">
      <c r="A16" s="43">
        <v>14</v>
      </c>
      <c r="B16" s="43">
        <v>7</v>
      </c>
      <c r="C16" s="38">
        <v>0.31008223000000001</v>
      </c>
      <c r="D16" s="38">
        <v>0.20307913999999999</v>
      </c>
      <c r="E16" s="38">
        <v>0.22797845999999999</v>
      </c>
      <c r="F16" s="38">
        <v>0.18680696999999999</v>
      </c>
      <c r="G16" s="38">
        <v>0.13870225999999999</v>
      </c>
      <c r="H16" s="38">
        <v>0.21381348</v>
      </c>
      <c r="I16" s="38">
        <v>0.15132612000000001</v>
      </c>
      <c r="J16" s="38">
        <v>0.19351635</v>
      </c>
      <c r="K16" s="38">
        <v>0.10029803</v>
      </c>
      <c r="L16" s="38">
        <v>0.16198420999999999</v>
      </c>
      <c r="M16" s="38">
        <v>0.18875871999999999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5.75" customHeight="1">
      <c r="A17" s="43">
        <v>15</v>
      </c>
      <c r="B17" s="43">
        <v>8</v>
      </c>
      <c r="C17" s="38">
        <v>8.6640769599999992</v>
      </c>
      <c r="D17" s="38">
        <v>15.370980429999999</v>
      </c>
      <c r="E17" s="38">
        <v>17.54063257</v>
      </c>
      <c r="F17" s="38">
        <v>15.59259028</v>
      </c>
      <c r="G17" s="38">
        <v>13.53675836</v>
      </c>
      <c r="H17" s="38">
        <v>11.13445316</v>
      </c>
      <c r="I17" s="38">
        <v>13.241358010000001</v>
      </c>
      <c r="J17" s="38">
        <v>11.333889449999999</v>
      </c>
      <c r="K17" s="38">
        <v>15.7661373</v>
      </c>
      <c r="L17" s="38">
        <v>16.231427060000001</v>
      </c>
      <c r="M17" s="38">
        <v>13.841230360000001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customHeight="1">
      <c r="A18" s="43">
        <v>16</v>
      </c>
      <c r="B18" s="43">
        <v>5</v>
      </c>
      <c r="C18" s="38">
        <v>6.8642195299999997</v>
      </c>
      <c r="D18" s="38">
        <v>6.9120050199999996</v>
      </c>
      <c r="E18" s="38">
        <v>8.9546756500000004</v>
      </c>
      <c r="F18" s="38">
        <v>6.7211492699999997</v>
      </c>
      <c r="G18" s="38">
        <v>4.2342064099999996</v>
      </c>
      <c r="H18" s="38">
        <v>8.2374636500000005</v>
      </c>
      <c r="I18" s="38">
        <v>7.12346798</v>
      </c>
      <c r="J18" s="38">
        <v>9.4283747400000006</v>
      </c>
      <c r="K18" s="38">
        <v>6.2484968700000003</v>
      </c>
      <c r="L18" s="39">
        <v>8.7221692199999996</v>
      </c>
      <c r="M18" s="38">
        <v>7.3446228299999996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customHeight="1">
      <c r="A19" s="43">
        <v>17</v>
      </c>
      <c r="B19" s="43">
        <v>7</v>
      </c>
      <c r="C19" s="38">
        <v>300.14137977000001</v>
      </c>
      <c r="D19" s="38">
        <v>300.14794588000001</v>
      </c>
      <c r="E19" s="38">
        <v>300.14732042999998</v>
      </c>
      <c r="F19" s="38">
        <v>300.15309280000002</v>
      </c>
      <c r="G19" s="38">
        <v>300.18047354999999</v>
      </c>
      <c r="H19" s="38">
        <v>300.13079169000002</v>
      </c>
      <c r="I19" s="38">
        <v>300.11209845000002</v>
      </c>
      <c r="J19" s="38">
        <v>300.13524231000002</v>
      </c>
      <c r="K19" s="38">
        <v>300.19258101999998</v>
      </c>
      <c r="L19" s="38">
        <v>300.20009755000001</v>
      </c>
      <c r="M19" s="38">
        <v>300.15410235000002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5.75" customHeight="1">
      <c r="A20" s="43">
        <v>18</v>
      </c>
      <c r="B20" s="43">
        <v>8</v>
      </c>
      <c r="C20" s="38">
        <v>300.16707631000003</v>
      </c>
      <c r="D20" s="38">
        <v>300.13831231</v>
      </c>
      <c r="E20" s="38">
        <v>300.13954711000002</v>
      </c>
      <c r="F20" s="38">
        <v>300.14698836999997</v>
      </c>
      <c r="G20" s="38">
        <v>300.14951130999998</v>
      </c>
      <c r="H20" s="38">
        <v>300.26305079000002</v>
      </c>
      <c r="I20" s="38">
        <v>300.20435884</v>
      </c>
      <c r="J20" s="38">
        <v>300.16069027999998</v>
      </c>
      <c r="K20" s="38">
        <v>300.13271588999999</v>
      </c>
      <c r="L20" s="38">
        <v>300.13752584999997</v>
      </c>
      <c r="M20" s="38">
        <v>300.16397770999998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5.75" customHeight="1">
      <c r="A21" s="43">
        <v>19</v>
      </c>
      <c r="B21" s="43">
        <v>14</v>
      </c>
      <c r="C21" s="38">
        <v>3.40037403</v>
      </c>
      <c r="D21" s="38">
        <v>2.458888</v>
      </c>
      <c r="E21" s="38">
        <v>2.3074182300000001</v>
      </c>
      <c r="F21" s="38">
        <v>2.1964545200000001</v>
      </c>
      <c r="G21" s="38">
        <v>2.3343271200000002</v>
      </c>
      <c r="H21" s="38">
        <v>3.34402519</v>
      </c>
      <c r="I21" s="38">
        <v>2.1342121999999999</v>
      </c>
      <c r="J21" s="38">
        <v>2.4481935199999998</v>
      </c>
      <c r="K21" s="38">
        <v>2.3885689800000001</v>
      </c>
      <c r="L21" s="38">
        <v>2.3530181400000001</v>
      </c>
      <c r="M21" s="38">
        <v>2.5365479899999999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5.75" customHeight="1">
      <c r="A22" s="43">
        <v>20</v>
      </c>
      <c r="B22" s="43">
        <v>9</v>
      </c>
      <c r="C22" s="41">
        <v>300.24961024999999</v>
      </c>
      <c r="D22" s="41">
        <v>300.28349914</v>
      </c>
      <c r="E22" s="41">
        <v>300.24303874999998</v>
      </c>
      <c r="F22" s="41">
        <v>300.25327866999999</v>
      </c>
      <c r="G22" s="41">
        <v>300.23434372999998</v>
      </c>
      <c r="H22" s="41">
        <v>300.20368142000001</v>
      </c>
      <c r="I22" s="41">
        <v>300.22342180999999</v>
      </c>
      <c r="J22" s="41">
        <v>300.17047086000002</v>
      </c>
      <c r="K22" s="41">
        <v>300.16737874</v>
      </c>
      <c r="L22" s="41">
        <v>300.15291817000002</v>
      </c>
      <c r="M22" s="41">
        <v>300.21816415000001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2.75">
      <c r="A23" s="43">
        <v>21</v>
      </c>
      <c r="B23" s="43">
        <v>14</v>
      </c>
      <c r="C23" s="41">
        <v>300.16565363000001</v>
      </c>
      <c r="D23" s="41">
        <v>300.16454239000001</v>
      </c>
      <c r="E23" s="41">
        <v>300.24664122000001</v>
      </c>
      <c r="F23" s="41">
        <v>300.17272394999998</v>
      </c>
      <c r="G23" s="41">
        <v>300.31236727999999</v>
      </c>
      <c r="H23" s="41">
        <v>300.24712165</v>
      </c>
      <c r="I23" s="41">
        <v>300.23372187000001</v>
      </c>
      <c r="J23" s="41">
        <v>300.16523752000001</v>
      </c>
      <c r="K23" s="41">
        <v>300.15570811999999</v>
      </c>
      <c r="L23" s="41">
        <v>300.15805764999999</v>
      </c>
      <c r="M23" s="41">
        <v>300.20217752999997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2.75">
      <c r="A24" s="43">
        <v>22</v>
      </c>
      <c r="B24" s="43">
        <v>9</v>
      </c>
      <c r="C24" s="38">
        <v>300.19818701000003</v>
      </c>
      <c r="D24" s="38">
        <v>300.16234126000001</v>
      </c>
      <c r="E24" s="38">
        <v>300.17910984999997</v>
      </c>
      <c r="F24" s="38">
        <v>300.18974847999999</v>
      </c>
      <c r="G24" s="38">
        <v>300.19442450999998</v>
      </c>
      <c r="H24" s="38">
        <v>300.17134505000001</v>
      </c>
      <c r="I24" s="38">
        <v>300.17762936000003</v>
      </c>
      <c r="J24" s="38">
        <v>300.18413783</v>
      </c>
      <c r="K24" s="38">
        <v>300.20368314000001</v>
      </c>
      <c r="L24" s="38">
        <v>300.25277305999998</v>
      </c>
      <c r="M24" s="38">
        <v>300.19133796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12.75">
      <c r="A25" s="43">
        <v>23</v>
      </c>
      <c r="B25" s="43">
        <v>9</v>
      </c>
      <c r="C25" s="38">
        <v>300.24525112999999</v>
      </c>
      <c r="D25" s="38">
        <v>300.17852976</v>
      </c>
      <c r="E25" s="38">
        <v>300.15922740000002</v>
      </c>
      <c r="F25" s="38">
        <v>300.16783896999999</v>
      </c>
      <c r="G25" s="38">
        <v>300.19317333999999</v>
      </c>
      <c r="H25" s="38">
        <v>300.16392646999998</v>
      </c>
      <c r="I25" s="38">
        <v>300.18329949999998</v>
      </c>
      <c r="J25" s="38">
        <v>300.20021277000001</v>
      </c>
      <c r="K25" s="38">
        <v>300.18088783000002</v>
      </c>
      <c r="L25" s="38">
        <v>300.16874333999999</v>
      </c>
      <c r="M25" s="38">
        <v>300.18410905000002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12.75">
      <c r="A26" s="43">
        <v>24</v>
      </c>
      <c r="B26" s="43">
        <v>9</v>
      </c>
      <c r="C26" s="38">
        <v>300.20993069000002</v>
      </c>
      <c r="D26" s="38">
        <v>300.19756978999999</v>
      </c>
      <c r="E26" s="39">
        <v>300.19903405999997</v>
      </c>
      <c r="F26" s="38">
        <v>300.20992259000002</v>
      </c>
      <c r="G26" s="38">
        <v>300.18434946999997</v>
      </c>
      <c r="H26" s="38">
        <v>300.26688008999997</v>
      </c>
      <c r="I26" s="38">
        <v>300.31000036</v>
      </c>
      <c r="J26" s="38">
        <v>300.20405352</v>
      </c>
      <c r="K26" s="38">
        <v>300.23605436999998</v>
      </c>
      <c r="L26" s="38">
        <v>300.20299297999998</v>
      </c>
      <c r="M26" s="38">
        <v>300.22207879000001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12.75">
      <c r="A27" s="43">
        <v>25</v>
      </c>
      <c r="B27" s="43">
        <v>9</v>
      </c>
      <c r="C27" s="38">
        <v>300.19997018999999</v>
      </c>
      <c r="D27" s="38">
        <v>300.25970109000002</v>
      </c>
      <c r="E27" s="38">
        <v>300.29831388000002</v>
      </c>
      <c r="F27" s="38">
        <v>300.23949477000002</v>
      </c>
      <c r="G27" s="38">
        <v>300.20046162</v>
      </c>
      <c r="H27" s="38">
        <v>300.22366962000001</v>
      </c>
      <c r="I27" s="38">
        <v>300.38321263</v>
      </c>
      <c r="J27" s="38">
        <v>300.31115913999997</v>
      </c>
      <c r="K27" s="38">
        <v>300.22302289999999</v>
      </c>
      <c r="L27" s="38">
        <v>300.27965190999998</v>
      </c>
      <c r="M27" s="38">
        <v>300.26186576999999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12.75">
      <c r="A28" s="43">
        <v>26</v>
      </c>
      <c r="B28" s="43">
        <v>18</v>
      </c>
      <c r="C28" s="38">
        <v>300.58586918999998</v>
      </c>
      <c r="D28" s="39">
        <v>300.81850019000001</v>
      </c>
      <c r="E28" s="39">
        <v>300.53842688999998</v>
      </c>
      <c r="F28" s="39">
        <v>300.55302964999998</v>
      </c>
      <c r="G28" s="39">
        <v>300.59222782000001</v>
      </c>
      <c r="H28" s="39">
        <v>300.95479155999999</v>
      </c>
      <c r="I28" s="39">
        <v>300.49754779</v>
      </c>
      <c r="J28" s="39">
        <v>300.63128868000001</v>
      </c>
      <c r="K28" s="39">
        <v>300.95963390999998</v>
      </c>
      <c r="L28" s="39">
        <v>300.82569199</v>
      </c>
      <c r="M28" s="39">
        <v>300.69570076999997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12.75">
      <c r="A29" s="43">
        <v>27</v>
      </c>
      <c r="B29" s="43">
        <v>183</v>
      </c>
      <c r="C29" s="42">
        <v>302.34539138999997</v>
      </c>
      <c r="D29" s="42">
        <v>302.05437611000002</v>
      </c>
      <c r="E29" s="42">
        <v>302.84169075</v>
      </c>
      <c r="F29" s="42">
        <v>302.06455391999998</v>
      </c>
      <c r="G29" s="42">
        <v>302.09437219</v>
      </c>
      <c r="H29" s="42">
        <v>302.05419567000001</v>
      </c>
      <c r="I29" s="42">
        <v>302.91151106000001</v>
      </c>
      <c r="J29" s="42">
        <v>302.06270584999999</v>
      </c>
      <c r="K29" s="42">
        <v>302.27627941999998</v>
      </c>
      <c r="L29" s="42">
        <v>302.85202113999998</v>
      </c>
      <c r="M29" s="42">
        <v>302.35570975000002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12.75">
      <c r="A30" s="36">
        <v>28</v>
      </c>
      <c r="B30" s="36" t="s">
        <v>15</v>
      </c>
      <c r="C30" s="37" t="s">
        <v>15</v>
      </c>
      <c r="D30" s="36" t="s">
        <v>15</v>
      </c>
      <c r="E30" s="37" t="s">
        <v>15</v>
      </c>
      <c r="F30" s="36" t="s">
        <v>15</v>
      </c>
      <c r="G30" s="37" t="s">
        <v>15</v>
      </c>
      <c r="H30" s="36" t="s">
        <v>15</v>
      </c>
      <c r="I30" s="37" t="s">
        <v>15</v>
      </c>
      <c r="J30" s="36" t="s">
        <v>15</v>
      </c>
      <c r="K30" s="37" t="s">
        <v>15</v>
      </c>
      <c r="L30" s="36" t="s">
        <v>15</v>
      </c>
      <c r="M30" s="37" t="s">
        <v>15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ht="12.75">
      <c r="A31" s="1">
        <v>29</v>
      </c>
      <c r="B31" s="1" t="s">
        <v>15</v>
      </c>
      <c r="C31" s="3" t="s">
        <v>15</v>
      </c>
      <c r="D31" s="1" t="s">
        <v>15</v>
      </c>
      <c r="E31" s="3" t="s">
        <v>15</v>
      </c>
      <c r="F31" s="1" t="s">
        <v>15</v>
      </c>
      <c r="G31" s="3" t="s">
        <v>15</v>
      </c>
      <c r="H31" s="1" t="s">
        <v>15</v>
      </c>
      <c r="I31" s="3" t="s">
        <v>15</v>
      </c>
      <c r="J31" s="1" t="s">
        <v>15</v>
      </c>
      <c r="K31" s="3" t="s">
        <v>15</v>
      </c>
      <c r="L31" s="1" t="s">
        <v>15</v>
      </c>
      <c r="M31" s="3" t="s">
        <v>15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12.75">
      <c r="A32" s="1">
        <v>30</v>
      </c>
      <c r="B32" s="1" t="s">
        <v>15</v>
      </c>
      <c r="C32" s="3" t="s">
        <v>15</v>
      </c>
      <c r="D32" s="1" t="s">
        <v>15</v>
      </c>
      <c r="E32" s="3" t="s">
        <v>15</v>
      </c>
      <c r="F32" s="1" t="s">
        <v>15</v>
      </c>
      <c r="G32" s="3" t="s">
        <v>15</v>
      </c>
      <c r="H32" s="1" t="s">
        <v>15</v>
      </c>
      <c r="I32" s="3" t="s">
        <v>15</v>
      </c>
      <c r="J32" s="1" t="s">
        <v>15</v>
      </c>
      <c r="K32" s="3" t="s">
        <v>15</v>
      </c>
      <c r="L32" s="1" t="s">
        <v>15</v>
      </c>
      <c r="M32" s="3" t="s">
        <v>15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ht="12.75">
      <c r="A33" s="1">
        <v>31</v>
      </c>
      <c r="B33" s="1" t="s">
        <v>15</v>
      </c>
      <c r="C33" s="3" t="s">
        <v>15</v>
      </c>
      <c r="D33" s="1" t="s">
        <v>15</v>
      </c>
      <c r="E33" s="3" t="s">
        <v>15</v>
      </c>
      <c r="F33" s="1" t="s">
        <v>15</v>
      </c>
      <c r="G33" s="3" t="s">
        <v>15</v>
      </c>
      <c r="H33" s="1" t="s">
        <v>15</v>
      </c>
      <c r="I33" s="3" t="s">
        <v>15</v>
      </c>
      <c r="J33" s="1" t="s">
        <v>15</v>
      </c>
      <c r="K33" s="3" t="s">
        <v>15</v>
      </c>
      <c r="L33" s="1" t="s">
        <v>15</v>
      </c>
      <c r="M33" s="3" t="s">
        <v>15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ht="12.75">
      <c r="A34" s="1">
        <v>32</v>
      </c>
      <c r="B34" s="1" t="s">
        <v>15</v>
      </c>
      <c r="C34" s="3" t="s">
        <v>15</v>
      </c>
      <c r="D34" s="1" t="s">
        <v>15</v>
      </c>
      <c r="E34" s="3" t="s">
        <v>15</v>
      </c>
      <c r="F34" s="1" t="s">
        <v>15</v>
      </c>
      <c r="G34" s="3" t="s">
        <v>15</v>
      </c>
      <c r="H34" s="1" t="s">
        <v>15</v>
      </c>
      <c r="I34" s="3" t="s">
        <v>15</v>
      </c>
      <c r="J34" s="1" t="s">
        <v>15</v>
      </c>
      <c r="K34" s="3" t="s">
        <v>15</v>
      </c>
      <c r="L34" s="1" t="s">
        <v>15</v>
      </c>
      <c r="M34" s="3" t="s">
        <v>15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ht="12.75">
      <c r="A35" s="1">
        <v>33</v>
      </c>
      <c r="B35" s="1" t="s">
        <v>15</v>
      </c>
      <c r="C35" s="3" t="s">
        <v>15</v>
      </c>
      <c r="D35" s="1" t="s">
        <v>15</v>
      </c>
      <c r="E35" s="3" t="s">
        <v>15</v>
      </c>
      <c r="F35" s="1" t="s">
        <v>15</v>
      </c>
      <c r="G35" s="3" t="s">
        <v>15</v>
      </c>
      <c r="H35" s="1" t="s">
        <v>15</v>
      </c>
      <c r="I35" s="3" t="s">
        <v>15</v>
      </c>
      <c r="J35" s="1" t="s">
        <v>15</v>
      </c>
      <c r="K35" s="3" t="s">
        <v>15</v>
      </c>
      <c r="L35" s="1" t="s">
        <v>15</v>
      </c>
      <c r="M35" s="3" t="s">
        <v>15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ht="12.75">
      <c r="A36" s="1">
        <v>34</v>
      </c>
      <c r="B36" s="1" t="s">
        <v>15</v>
      </c>
      <c r="C36" s="3" t="s">
        <v>15</v>
      </c>
      <c r="D36" s="1" t="s">
        <v>15</v>
      </c>
      <c r="E36" s="3" t="s">
        <v>15</v>
      </c>
      <c r="F36" s="1" t="s">
        <v>15</v>
      </c>
      <c r="G36" s="3" t="s">
        <v>15</v>
      </c>
      <c r="H36" s="1" t="s">
        <v>15</v>
      </c>
      <c r="I36" s="3" t="s">
        <v>15</v>
      </c>
      <c r="J36" s="1" t="s">
        <v>15</v>
      </c>
      <c r="K36" s="3" t="s">
        <v>15</v>
      </c>
      <c r="L36" s="1" t="s">
        <v>15</v>
      </c>
      <c r="M36" s="3" t="s">
        <v>15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ht="12.75">
      <c r="A37" s="1">
        <v>35</v>
      </c>
      <c r="B37" s="1" t="s">
        <v>15</v>
      </c>
      <c r="C37" s="3" t="s">
        <v>15</v>
      </c>
      <c r="D37" s="1" t="s">
        <v>15</v>
      </c>
      <c r="E37" s="3" t="s">
        <v>15</v>
      </c>
      <c r="F37" s="1" t="s">
        <v>15</v>
      </c>
      <c r="G37" s="3" t="s">
        <v>15</v>
      </c>
      <c r="H37" s="1" t="s">
        <v>15</v>
      </c>
      <c r="I37" s="3" t="s">
        <v>15</v>
      </c>
      <c r="J37" s="1" t="s">
        <v>15</v>
      </c>
      <c r="K37" s="3" t="s">
        <v>15</v>
      </c>
      <c r="L37" s="1" t="s">
        <v>15</v>
      </c>
      <c r="M37" s="3" t="s">
        <v>15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ht="12.75">
      <c r="A38" s="1">
        <v>36</v>
      </c>
      <c r="B38" s="1" t="s">
        <v>15</v>
      </c>
      <c r="C38" s="3" t="s">
        <v>15</v>
      </c>
      <c r="D38" s="1" t="s">
        <v>15</v>
      </c>
      <c r="E38" s="3" t="s">
        <v>15</v>
      </c>
      <c r="F38" s="1" t="s">
        <v>15</v>
      </c>
      <c r="G38" s="3" t="s">
        <v>15</v>
      </c>
      <c r="H38" s="1" t="s">
        <v>15</v>
      </c>
      <c r="I38" s="3" t="s">
        <v>15</v>
      </c>
      <c r="J38" s="1" t="s">
        <v>15</v>
      </c>
      <c r="K38" s="3" t="s">
        <v>15</v>
      </c>
      <c r="L38" s="1" t="s">
        <v>15</v>
      </c>
      <c r="M38" s="3" t="s">
        <v>15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ht="12.75">
      <c r="A39" s="1">
        <v>37</v>
      </c>
      <c r="B39" s="1" t="s">
        <v>15</v>
      </c>
      <c r="C39" s="3" t="s">
        <v>15</v>
      </c>
      <c r="D39" s="1" t="s">
        <v>15</v>
      </c>
      <c r="E39" s="3" t="s">
        <v>15</v>
      </c>
      <c r="F39" s="1" t="s">
        <v>15</v>
      </c>
      <c r="G39" s="3" t="s">
        <v>15</v>
      </c>
      <c r="H39" s="1" t="s">
        <v>15</v>
      </c>
      <c r="I39" s="3" t="s">
        <v>15</v>
      </c>
      <c r="J39" s="1" t="s">
        <v>15</v>
      </c>
      <c r="K39" s="3" t="s">
        <v>15</v>
      </c>
      <c r="L39" s="1" t="s">
        <v>15</v>
      </c>
      <c r="M39" s="3" t="s">
        <v>15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ht="12.75">
      <c r="A40" s="1">
        <v>38</v>
      </c>
      <c r="B40" s="1" t="s">
        <v>15</v>
      </c>
      <c r="C40" s="3" t="s">
        <v>15</v>
      </c>
      <c r="D40" s="1" t="s">
        <v>15</v>
      </c>
      <c r="E40" s="3" t="s">
        <v>15</v>
      </c>
      <c r="F40" s="1" t="s">
        <v>15</v>
      </c>
      <c r="G40" s="3" t="s">
        <v>15</v>
      </c>
      <c r="H40" s="1" t="s">
        <v>15</v>
      </c>
      <c r="I40" s="3" t="s">
        <v>15</v>
      </c>
      <c r="J40" s="1" t="s">
        <v>15</v>
      </c>
      <c r="K40" s="3" t="s">
        <v>15</v>
      </c>
      <c r="L40" s="1" t="s">
        <v>15</v>
      </c>
      <c r="M40" s="3" t="s">
        <v>15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ht="12.75">
      <c r="A41" s="2"/>
      <c r="B41" s="2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ht="12.75">
      <c r="A42" s="2"/>
      <c r="B42" s="2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12.75">
      <c r="A43" s="2"/>
      <c r="B43" s="2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ht="12.75">
      <c r="A44" s="2"/>
      <c r="B44" s="2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12.75">
      <c r="A45" s="2"/>
      <c r="B45" s="2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ht="12.75">
      <c r="A46" s="2"/>
      <c r="B46" s="2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12.75">
      <c r="A47" s="2"/>
      <c r="B47" s="2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ht="12.75">
      <c r="A48" s="2"/>
      <c r="B48" s="2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4" ht="12.75">
      <c r="A49" s="2"/>
      <c r="B49" s="2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</row>
    <row r="50" spans="1:34" ht="12.75">
      <c r="A50" s="2"/>
      <c r="B50" s="2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</row>
    <row r="51" spans="1:34" ht="12.75">
      <c r="A51" s="2"/>
      <c r="B51" s="2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</row>
    <row r="52" spans="1:34" ht="12.75">
      <c r="A52" s="2"/>
      <c r="B52" s="2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</row>
    <row r="53" spans="1:34" ht="12.7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</row>
    <row r="54" spans="1:34" ht="12.75">
      <c r="A54" s="2"/>
      <c r="B54" s="2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</row>
    <row r="55" spans="1:34" ht="12.75">
      <c r="A55" s="2"/>
      <c r="B55" s="2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</row>
    <row r="56" spans="1:34" ht="12.75">
      <c r="A56" s="2"/>
      <c r="B56" s="2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</row>
    <row r="57" spans="1:34" ht="12.75">
      <c r="A57" s="2"/>
      <c r="B57" s="2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</row>
    <row r="58" spans="1:34" ht="12.75">
      <c r="A58" s="2"/>
      <c r="B58" s="2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</row>
    <row r="59" spans="1:34" ht="12.75">
      <c r="A59" s="2"/>
      <c r="B59" s="2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</row>
    <row r="60" spans="1:34" ht="12.75">
      <c r="A60" s="2"/>
      <c r="B60" s="2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</row>
    <row r="61" spans="1:34" ht="12.75">
      <c r="A61" s="2"/>
      <c r="B61" s="2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</row>
    <row r="62" spans="1:34" ht="12.75">
      <c r="A62" s="2"/>
      <c r="B62" s="2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</row>
    <row r="63" spans="1:34" ht="12.75">
      <c r="A63" s="2"/>
      <c r="B63" s="2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</row>
    <row r="64" spans="1:34" ht="12.75">
      <c r="A64" s="2"/>
      <c r="B64" s="2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</row>
    <row r="65" spans="1:34" ht="12.75">
      <c r="A65" s="2"/>
      <c r="B65" s="2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</row>
    <row r="66" spans="1:34" ht="12.75">
      <c r="A66" s="2"/>
      <c r="B66" s="2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</row>
    <row r="67" spans="1:34" ht="12.75">
      <c r="A67" s="2"/>
      <c r="B67" s="2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</row>
    <row r="68" spans="1:34" ht="12.75">
      <c r="A68" s="2"/>
      <c r="B68" s="2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</row>
    <row r="69" spans="1:34" ht="12.75">
      <c r="A69" s="2"/>
      <c r="B69" s="2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</row>
    <row r="70" spans="1:34" ht="12.75">
      <c r="A70" s="2"/>
      <c r="B70" s="2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</row>
    <row r="71" spans="1:34" ht="12.75">
      <c r="A71" s="2"/>
      <c r="B71" s="2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</row>
    <row r="72" spans="1:34" ht="12.75">
      <c r="A72" s="2"/>
      <c r="B72" s="2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</row>
    <row r="73" spans="1:34" ht="12.75">
      <c r="A73" s="2"/>
      <c r="B73" s="2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</row>
    <row r="74" spans="1:34" ht="12.75">
      <c r="A74" s="2"/>
      <c r="B74" s="2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</row>
    <row r="75" spans="1:34" ht="12.75">
      <c r="A75" s="2"/>
      <c r="B75" s="2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</row>
    <row r="76" spans="1:34" ht="12.75">
      <c r="A76" s="2"/>
      <c r="B76" s="2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</row>
    <row r="77" spans="1:34" ht="12.75">
      <c r="A77" s="2"/>
      <c r="B77" s="2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</row>
    <row r="78" spans="1:34" ht="12.75">
      <c r="A78" s="2"/>
      <c r="B78" s="2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</row>
    <row r="79" spans="1:34" ht="12.75">
      <c r="A79" s="2"/>
      <c r="B79" s="2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</row>
    <row r="80" spans="1:34" ht="12.75">
      <c r="A80" s="2"/>
      <c r="B80" s="2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</row>
    <row r="81" spans="1:34" ht="12.75">
      <c r="A81" s="2"/>
      <c r="B81" s="2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</row>
    <row r="82" spans="1:34" ht="12.75">
      <c r="A82" s="2"/>
      <c r="B82" s="2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</row>
    <row r="83" spans="1:34" ht="12.75">
      <c r="A83" s="2"/>
      <c r="B83" s="2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</row>
    <row r="84" spans="1:34" ht="12.75">
      <c r="A84" s="2"/>
      <c r="B84" s="2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</row>
    <row r="85" spans="1:34" ht="12.75">
      <c r="A85" s="2"/>
      <c r="B85" s="2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</row>
    <row r="86" spans="1:34" ht="12.75">
      <c r="A86" s="2"/>
      <c r="B86" s="2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</row>
    <row r="87" spans="1:34" ht="12.75">
      <c r="A87" s="2"/>
      <c r="B87" s="2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</row>
    <row r="88" spans="1:34" ht="12.75">
      <c r="A88" s="2"/>
      <c r="B88" s="2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</row>
    <row r="89" spans="1:34" ht="12.75">
      <c r="A89" s="2"/>
      <c r="B89" s="2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</row>
    <row r="90" spans="1:34" ht="12.75">
      <c r="A90" s="2"/>
      <c r="B90" s="2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</row>
    <row r="91" spans="1:34" ht="12.75">
      <c r="A91" s="2"/>
      <c r="B91" s="2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</row>
    <row r="92" spans="1:34" ht="12.75">
      <c r="A92" s="2"/>
      <c r="B92" s="2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</row>
    <row r="93" spans="1:34" ht="12.75">
      <c r="A93" s="2"/>
      <c r="B93" s="2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</row>
    <row r="94" spans="1:34" ht="12.75">
      <c r="A94" s="2"/>
      <c r="B94" s="2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</row>
    <row r="95" spans="1:34" ht="12.75">
      <c r="A95" s="2"/>
      <c r="B95" s="2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</row>
    <row r="96" spans="1:34" ht="12.75">
      <c r="A96" s="2"/>
      <c r="B96" s="2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</row>
    <row r="97" spans="1:34" ht="12.75">
      <c r="A97" s="2"/>
      <c r="B97" s="2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</row>
    <row r="98" spans="1:34" ht="12.75">
      <c r="A98" s="2"/>
      <c r="B98" s="2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</row>
    <row r="99" spans="1:34" ht="12.75">
      <c r="A99" s="2"/>
      <c r="B99" s="2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</row>
    <row r="100" spans="1:34" ht="12.75">
      <c r="A100" s="2"/>
      <c r="B100" s="2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</row>
    <row r="101" spans="1:34" ht="12.75">
      <c r="A101" s="2"/>
      <c r="B101" s="2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</row>
    <row r="102" spans="1:34" ht="12.75">
      <c r="A102" s="2"/>
      <c r="B102" s="2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</row>
    <row r="103" spans="1:34" ht="12.75">
      <c r="A103" s="2"/>
      <c r="B103" s="2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</row>
    <row r="104" spans="1:34" ht="12.75">
      <c r="A104" s="2"/>
      <c r="B104" s="2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</row>
    <row r="105" spans="1:34" ht="12.75">
      <c r="A105" s="2"/>
      <c r="B105" s="2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</row>
    <row r="106" spans="1:34" ht="12.75">
      <c r="A106" s="2"/>
      <c r="B106" s="2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</row>
    <row r="107" spans="1:34" ht="12.75">
      <c r="A107" s="2"/>
      <c r="B107" s="2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</row>
    <row r="108" spans="1:34" ht="12.75">
      <c r="A108" s="2"/>
      <c r="B108" s="2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</row>
    <row r="109" spans="1:34" ht="12.75">
      <c r="A109" s="2"/>
      <c r="B109" s="2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</row>
    <row r="110" spans="1:34" ht="12.75">
      <c r="A110" s="2"/>
      <c r="B110" s="2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</row>
    <row r="111" spans="1:34" ht="12.75">
      <c r="A111" s="2"/>
      <c r="B111" s="2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</row>
    <row r="112" spans="1:34" ht="12.75">
      <c r="A112" s="2"/>
      <c r="B112" s="2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</row>
    <row r="113" spans="1:34" ht="12.75">
      <c r="A113" s="2"/>
      <c r="B113" s="2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</row>
    <row r="114" spans="1:34" ht="12.75">
      <c r="A114" s="2"/>
      <c r="B114" s="2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</row>
    <row r="115" spans="1:34" ht="12.75">
      <c r="A115" s="2"/>
      <c r="B115" s="2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</row>
    <row r="116" spans="1:34" ht="12.75">
      <c r="A116" s="2"/>
      <c r="B116" s="2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</row>
    <row r="117" spans="1:34" ht="12.75">
      <c r="A117" s="2"/>
      <c r="B117" s="2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</row>
    <row r="118" spans="1:34" ht="12.75">
      <c r="A118" s="2"/>
      <c r="B118" s="2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</row>
    <row r="119" spans="1:34" ht="12.75">
      <c r="A119" s="2"/>
      <c r="B119" s="2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</row>
    <row r="120" spans="1:34" ht="12.75">
      <c r="A120" s="2"/>
      <c r="B120" s="2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</row>
    <row r="121" spans="1:34" ht="12.75">
      <c r="A121" s="2"/>
      <c r="B121" s="2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</row>
    <row r="122" spans="1:34" ht="12.75">
      <c r="A122" s="2"/>
      <c r="B122" s="2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</row>
    <row r="123" spans="1:34" ht="12.75">
      <c r="A123" s="2"/>
      <c r="B123" s="2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</row>
    <row r="124" spans="1:34" ht="12.75">
      <c r="A124" s="2"/>
      <c r="B124" s="2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</row>
    <row r="125" spans="1:34" ht="12.75">
      <c r="A125" s="2"/>
      <c r="B125" s="2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</row>
    <row r="126" spans="1:34" ht="12.75">
      <c r="A126" s="2"/>
      <c r="B126" s="2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</row>
    <row r="127" spans="1:34" ht="12.75">
      <c r="A127" s="2"/>
      <c r="B127" s="2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</row>
    <row r="128" spans="1:34" ht="12.75">
      <c r="A128" s="2"/>
      <c r="B128" s="2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</row>
    <row r="129" spans="1:34" ht="12.75">
      <c r="A129" s="2"/>
      <c r="B129" s="2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</row>
    <row r="130" spans="1:34" ht="12.75">
      <c r="A130" s="2"/>
      <c r="B130" s="2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</row>
    <row r="131" spans="1:34" ht="12.75">
      <c r="A131" s="2"/>
      <c r="B131" s="2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</row>
    <row r="132" spans="1:34" ht="12.75">
      <c r="A132" s="2"/>
      <c r="B132" s="2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</row>
    <row r="133" spans="1:34" ht="12.75">
      <c r="A133" s="2"/>
      <c r="B133" s="2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</row>
    <row r="134" spans="1:34" ht="12.75">
      <c r="A134" s="2"/>
      <c r="B134" s="2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</row>
    <row r="135" spans="1:34" ht="12.75">
      <c r="A135" s="2"/>
      <c r="B135" s="2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</row>
    <row r="136" spans="1:34" ht="12.75">
      <c r="A136" s="2"/>
      <c r="B136" s="2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</row>
    <row r="137" spans="1:34" ht="12.75">
      <c r="A137" s="2"/>
      <c r="B137" s="2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</row>
    <row r="138" spans="1:34" ht="12.75">
      <c r="A138" s="2"/>
      <c r="B138" s="2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</row>
    <row r="139" spans="1:34" ht="12.75">
      <c r="A139" s="2"/>
      <c r="B139" s="2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</row>
    <row r="140" spans="1:34" ht="12.75">
      <c r="A140" s="2"/>
      <c r="B140" s="2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</row>
    <row r="141" spans="1:34" ht="12.75">
      <c r="A141" s="2"/>
      <c r="B141" s="2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</row>
    <row r="142" spans="1:34" ht="12.75">
      <c r="A142" s="2"/>
      <c r="B142" s="2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</row>
    <row r="143" spans="1:34" ht="12.75">
      <c r="A143" s="2"/>
      <c r="B143" s="2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</row>
    <row r="144" spans="1:34" ht="12.75">
      <c r="A144" s="2"/>
      <c r="B144" s="2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</row>
    <row r="145" spans="1:34" ht="12.75">
      <c r="A145" s="2"/>
      <c r="B145" s="2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</row>
    <row r="146" spans="1:34" ht="12.75">
      <c r="A146" s="2"/>
      <c r="B146" s="2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</row>
    <row r="147" spans="1:34" ht="12.75">
      <c r="A147" s="2"/>
      <c r="B147" s="2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</row>
    <row r="148" spans="1:34" ht="12.75">
      <c r="A148" s="2"/>
      <c r="B148" s="2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</row>
    <row r="149" spans="1:34" ht="12.75">
      <c r="A149" s="2"/>
      <c r="B149" s="2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</row>
    <row r="150" spans="1:34" ht="12.75">
      <c r="A150" s="2"/>
      <c r="B150" s="2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</row>
    <row r="151" spans="1:34" ht="12.75">
      <c r="A151" s="2"/>
      <c r="B151" s="2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</row>
    <row r="152" spans="1:34" ht="12.75">
      <c r="A152" s="2"/>
      <c r="B152" s="2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</row>
    <row r="153" spans="1:34" ht="12.75">
      <c r="A153" s="2"/>
      <c r="B153" s="2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</row>
    <row r="154" spans="1:34" ht="12.75">
      <c r="A154" s="2"/>
      <c r="B154" s="2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</row>
    <row r="155" spans="1:34" ht="12.75">
      <c r="A155" s="2"/>
      <c r="B155" s="2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</row>
    <row r="156" spans="1:34" ht="12.75">
      <c r="A156" s="2"/>
      <c r="B156" s="2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</row>
    <row r="157" spans="1:34" ht="12.75">
      <c r="A157" s="2"/>
      <c r="B157" s="2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</row>
    <row r="158" spans="1:34" ht="12.75">
      <c r="A158" s="2"/>
      <c r="B158" s="2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</row>
    <row r="159" spans="1:34" ht="12.75">
      <c r="A159" s="2"/>
      <c r="B159" s="2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</row>
    <row r="160" spans="1:34" ht="12.75">
      <c r="A160" s="2"/>
      <c r="B160" s="2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</row>
    <row r="161" spans="1:34" ht="12.75">
      <c r="A161" s="2"/>
      <c r="B161" s="2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</row>
    <row r="162" spans="1:34" ht="12.75">
      <c r="A162" s="2"/>
      <c r="B162" s="2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 spans="1:34" ht="12.75">
      <c r="A163" s="2"/>
      <c r="B163" s="2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</row>
    <row r="164" spans="1:34" ht="12.75">
      <c r="A164" s="2"/>
      <c r="B164" s="2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</row>
    <row r="165" spans="1:34" ht="12.75">
      <c r="A165" s="2"/>
      <c r="B165" s="2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</row>
    <row r="166" spans="1:34" ht="12.75">
      <c r="A166" s="2"/>
      <c r="B166" s="2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</row>
    <row r="167" spans="1:34" ht="12.75">
      <c r="A167" s="2"/>
      <c r="B167" s="2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</row>
    <row r="168" spans="1:34" ht="12.75">
      <c r="A168" s="2"/>
      <c r="B168" s="2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</row>
    <row r="169" spans="1:34" ht="12.75">
      <c r="A169" s="2"/>
      <c r="B169" s="2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</row>
    <row r="170" spans="1:34" ht="12.75">
      <c r="A170" s="2"/>
      <c r="B170" s="2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</row>
    <row r="171" spans="1:34" ht="12.75">
      <c r="A171" s="2"/>
      <c r="B171" s="2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</row>
    <row r="172" spans="1:34" ht="12.75">
      <c r="A172" s="2"/>
      <c r="B172" s="2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</row>
    <row r="173" spans="1:34" ht="12.75">
      <c r="A173" s="2"/>
      <c r="B173" s="2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</row>
    <row r="174" spans="1:34" ht="12.75">
      <c r="A174" s="2"/>
      <c r="B174" s="2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</row>
    <row r="175" spans="1:34" ht="12.75">
      <c r="A175" s="2"/>
      <c r="B175" s="2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</row>
    <row r="176" spans="1:34" ht="12.75">
      <c r="A176" s="2"/>
      <c r="B176" s="2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</row>
    <row r="177" spans="1:34" ht="12.75">
      <c r="A177" s="2"/>
      <c r="B177" s="2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</row>
    <row r="178" spans="1:34" ht="12.75">
      <c r="A178" s="2"/>
      <c r="B178" s="2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</row>
    <row r="179" spans="1:34" ht="12.75">
      <c r="A179" s="2"/>
      <c r="B179" s="2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</row>
    <row r="180" spans="1:34" ht="12.75">
      <c r="A180" s="2"/>
      <c r="B180" s="2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</row>
    <row r="181" spans="1:34" ht="12.75">
      <c r="A181" s="2"/>
      <c r="B181" s="2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</row>
    <row r="182" spans="1:34" ht="12.75">
      <c r="A182" s="2"/>
      <c r="B182" s="2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</row>
    <row r="183" spans="1:34" ht="12.75">
      <c r="A183" s="2"/>
      <c r="B183" s="2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</row>
    <row r="184" spans="1:34" ht="12.75">
      <c r="A184" s="2"/>
      <c r="B184" s="2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</row>
    <row r="185" spans="1:34" ht="12.75">
      <c r="A185" s="2"/>
      <c r="B185" s="2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</row>
    <row r="186" spans="1:34" ht="12.75">
      <c r="A186" s="2"/>
      <c r="B186" s="2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</row>
    <row r="187" spans="1:34" ht="12.75">
      <c r="A187" s="2"/>
      <c r="B187" s="2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</row>
    <row r="188" spans="1:34" ht="12.75">
      <c r="A188" s="2"/>
      <c r="B188" s="2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</row>
    <row r="189" spans="1:34" ht="12.75">
      <c r="A189" s="2"/>
      <c r="B189" s="2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</row>
    <row r="190" spans="1:34" ht="12.75">
      <c r="A190" s="2"/>
      <c r="B190" s="2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</row>
    <row r="191" spans="1:34" ht="12.75">
      <c r="A191" s="2"/>
      <c r="B191" s="2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</row>
    <row r="192" spans="1:34" ht="12.75">
      <c r="A192" s="2"/>
      <c r="B192" s="2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</row>
    <row r="193" spans="1:34" ht="12.75">
      <c r="A193" s="2"/>
      <c r="B193" s="2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</row>
    <row r="194" spans="1:34" ht="12.75">
      <c r="A194" s="2"/>
      <c r="B194" s="2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</row>
    <row r="195" spans="1:34" ht="12.75">
      <c r="A195" s="2"/>
      <c r="B195" s="2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</row>
    <row r="196" spans="1:34" ht="12.75">
      <c r="A196" s="2"/>
      <c r="B196" s="2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</row>
    <row r="197" spans="1:34" ht="12.75">
      <c r="A197" s="2"/>
      <c r="B197" s="2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</row>
    <row r="198" spans="1:34" ht="12.75">
      <c r="A198" s="2"/>
      <c r="B198" s="2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</row>
    <row r="199" spans="1:34" ht="12.75">
      <c r="A199" s="2"/>
      <c r="B199" s="2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</row>
    <row r="200" spans="1:34" ht="12.75">
      <c r="A200" s="2"/>
      <c r="B200" s="2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</row>
    <row r="201" spans="1:34" ht="12.75">
      <c r="A201" s="2"/>
      <c r="B201" s="2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</row>
    <row r="202" spans="1:34" ht="12.75">
      <c r="A202" s="2"/>
      <c r="B202" s="2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</row>
    <row r="203" spans="1:34" ht="12.75">
      <c r="A203" s="2"/>
      <c r="B203" s="2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</row>
    <row r="204" spans="1:34" ht="12.75">
      <c r="A204" s="2"/>
      <c r="B204" s="2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</row>
    <row r="205" spans="1:34" ht="12.75">
      <c r="A205" s="2"/>
      <c r="B205" s="2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</row>
    <row r="206" spans="1:34" ht="12.75">
      <c r="A206" s="2"/>
      <c r="B206" s="2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</row>
    <row r="207" spans="1:34" ht="12.75">
      <c r="A207" s="2"/>
      <c r="B207" s="2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</row>
    <row r="208" spans="1:34" ht="12.75">
      <c r="A208" s="2"/>
      <c r="B208" s="2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</row>
    <row r="209" spans="1:34" ht="12.75">
      <c r="A209" s="2"/>
      <c r="B209" s="2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 spans="1:34" ht="12.75">
      <c r="A210" s="2"/>
      <c r="B210" s="2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 spans="1:34" ht="12.75">
      <c r="A211" s="2"/>
      <c r="B211" s="2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</row>
    <row r="212" spans="1:34" ht="12.75">
      <c r="A212" s="2"/>
      <c r="B212" s="2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 spans="1:34" ht="12.75">
      <c r="A213" s="2"/>
      <c r="B213" s="2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</row>
    <row r="214" spans="1:34" ht="12.75">
      <c r="A214" s="2"/>
      <c r="B214" s="2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</row>
    <row r="215" spans="1:34" ht="12.75">
      <c r="A215" s="2"/>
      <c r="B215" s="2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spans="1:34" ht="12.75">
      <c r="A216" s="2"/>
      <c r="B216" s="2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</row>
    <row r="217" spans="1:34" ht="12.75">
      <c r="A217" s="2"/>
      <c r="B217" s="2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spans="1:34" ht="12.75">
      <c r="A218" s="2"/>
      <c r="B218" s="2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 spans="1:34" ht="12.75">
      <c r="A219" s="2"/>
      <c r="B219" s="2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</row>
    <row r="220" spans="1:34" ht="12.75">
      <c r="A220" s="2"/>
      <c r="B220" s="2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</row>
    <row r="221" spans="1:34" ht="12.75">
      <c r="A221" s="2"/>
      <c r="B221" s="2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 spans="1:34" ht="12.75">
      <c r="A222" s="2"/>
      <c r="B222" s="2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spans="1:34" ht="12.75">
      <c r="A223" s="2"/>
      <c r="B223" s="2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 spans="1:34" ht="12.75">
      <c r="A224" s="2"/>
      <c r="B224" s="2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 spans="1:34" ht="12.75">
      <c r="A225" s="2"/>
      <c r="B225" s="2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 spans="1:34" ht="12.75">
      <c r="A226" s="2"/>
      <c r="B226" s="2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</row>
    <row r="227" spans="1:34" ht="12.75">
      <c r="A227" s="2"/>
      <c r="B227" s="2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</row>
    <row r="228" spans="1:34" ht="12.75">
      <c r="A228" s="2"/>
      <c r="B228" s="2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</row>
    <row r="229" spans="1:34" ht="12.75">
      <c r="A229" s="2"/>
      <c r="B229" s="2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</row>
    <row r="230" spans="1:34" ht="12.75">
      <c r="A230" s="2"/>
      <c r="B230" s="2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</row>
    <row r="231" spans="1:34" ht="12.75">
      <c r="A231" s="2"/>
      <c r="B231" s="2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spans="1:34" ht="12.75">
      <c r="A232" s="2"/>
      <c r="B232" s="2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spans="1:34" ht="12.75">
      <c r="A233" s="2"/>
      <c r="B233" s="2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 spans="1:34" ht="12.75">
      <c r="A234" s="2"/>
      <c r="B234" s="2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 spans="1:34" ht="12.75">
      <c r="A235" s="2"/>
      <c r="B235" s="2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</row>
    <row r="236" spans="1:34" ht="12.75">
      <c r="A236" s="2"/>
      <c r="B236" s="2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</row>
    <row r="237" spans="1:34" ht="12.75">
      <c r="A237" s="2"/>
      <c r="B237" s="2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</row>
    <row r="238" spans="1:34" ht="12.75">
      <c r="A238" s="2"/>
      <c r="B238" s="2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</row>
    <row r="239" spans="1:34" ht="12.75">
      <c r="A239" s="2"/>
      <c r="B239" s="2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</row>
    <row r="240" spans="1:34" ht="12.75">
      <c r="A240" s="2"/>
      <c r="B240" s="2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</row>
    <row r="241" spans="1:34" ht="12.75">
      <c r="A241" s="2"/>
      <c r="B241" s="2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</row>
    <row r="242" spans="1:34" ht="12.75">
      <c r="A242" s="2"/>
      <c r="B242" s="2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spans="1:34" ht="12.75">
      <c r="A243" s="2"/>
      <c r="B243" s="2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 spans="1:34" ht="12.75">
      <c r="A244" s="2"/>
      <c r="B244" s="2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 spans="1:34" ht="12.75">
      <c r="A245" s="2"/>
      <c r="B245" s="2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 spans="1:34" ht="12.75">
      <c r="A246" s="2"/>
      <c r="B246" s="2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 spans="1:34" ht="12.75">
      <c r="A247" s="2"/>
      <c r="B247" s="2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 spans="1:34" ht="12.75">
      <c r="A248" s="2"/>
      <c r="B248" s="2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spans="1:34" ht="12.75">
      <c r="A249" s="2"/>
      <c r="B249" s="2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spans="1:34" ht="12.75">
      <c r="A250" s="2"/>
      <c r="B250" s="2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 spans="1:34" ht="12.75">
      <c r="A251" s="2"/>
      <c r="B251" s="2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 spans="1:34" ht="12.75">
      <c r="A252" s="2"/>
      <c r="B252" s="2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</row>
    <row r="253" spans="1:34" ht="12.75">
      <c r="A253" s="2"/>
      <c r="B253" s="2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</row>
    <row r="254" spans="1:34" ht="12.75">
      <c r="A254" s="2"/>
      <c r="B254" s="2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4" ht="12.75">
      <c r="A255" s="2"/>
      <c r="B255" s="2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4" ht="12.75">
      <c r="A256" s="2"/>
      <c r="B256" s="2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ht="12.75">
      <c r="A257" s="2"/>
      <c r="B257" s="2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</row>
    <row r="258" spans="1:34" ht="12.75">
      <c r="A258" s="2"/>
      <c r="B258" s="2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</row>
    <row r="259" spans="1:34" ht="12.75">
      <c r="A259" s="2"/>
      <c r="B259" s="2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</row>
    <row r="260" spans="1:34" ht="12.75">
      <c r="A260" s="2"/>
      <c r="B260" s="2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</row>
    <row r="261" spans="1:34" ht="12.75">
      <c r="A261" s="2"/>
      <c r="B261" s="2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</row>
    <row r="262" spans="1:34" ht="12.75">
      <c r="A262" s="2"/>
      <c r="B262" s="2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</row>
    <row r="263" spans="1:34" ht="12.75">
      <c r="A263" s="2"/>
      <c r="B263" s="2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</row>
    <row r="264" spans="1:34" ht="12.75">
      <c r="A264" s="2"/>
      <c r="B264" s="2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</row>
    <row r="265" spans="1:34" ht="12.75">
      <c r="A265" s="2"/>
      <c r="B265" s="2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</row>
    <row r="266" spans="1:34" ht="12.75">
      <c r="A266" s="2"/>
      <c r="B266" s="2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</row>
    <row r="267" spans="1:34" ht="12.75">
      <c r="A267" s="2"/>
      <c r="B267" s="2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</row>
    <row r="268" spans="1:34" ht="12.75">
      <c r="A268" s="2"/>
      <c r="B268" s="2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 spans="1:34" ht="12.75">
      <c r="A269" s="2"/>
      <c r="B269" s="2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</row>
    <row r="270" spans="1:34" ht="12.75">
      <c r="A270" s="2"/>
      <c r="B270" s="2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spans="1:34" ht="12.75">
      <c r="A271" s="2"/>
      <c r="B271" s="2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spans="1:34" ht="12.75">
      <c r="A272" s="2"/>
      <c r="B272" s="2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spans="1:34" ht="12.75">
      <c r="A273" s="2"/>
      <c r="B273" s="2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spans="1:34" ht="12.75">
      <c r="A274" s="2"/>
      <c r="B274" s="2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spans="1:34" ht="12.75">
      <c r="A275" s="2"/>
      <c r="B275" s="2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spans="1:34" ht="12.75">
      <c r="A276" s="2"/>
      <c r="B276" s="2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spans="1:34" ht="12.75">
      <c r="A277" s="2"/>
      <c r="B277" s="2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spans="1:34" ht="12.75">
      <c r="A278" s="2"/>
      <c r="B278" s="2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spans="1:34" ht="12.75">
      <c r="A279" s="2"/>
      <c r="B279" s="2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spans="1:34" ht="12.75">
      <c r="A280" s="2"/>
      <c r="B280" s="2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1:34" ht="12.75">
      <c r="A281" s="2"/>
      <c r="B281" s="2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spans="1:34" ht="12.75">
      <c r="A282" s="2"/>
      <c r="B282" s="2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spans="1:34" ht="12.75">
      <c r="A283" s="2"/>
      <c r="B283" s="2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spans="1:34" ht="12.75">
      <c r="A284" s="2"/>
      <c r="B284" s="2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spans="1:34" ht="12.75">
      <c r="A285" s="2"/>
      <c r="B285" s="2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spans="1:34" ht="12.75">
      <c r="A286" s="2"/>
      <c r="B286" s="2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spans="1:34" ht="12.75">
      <c r="A287" s="2"/>
      <c r="B287" s="2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spans="1:34" ht="12.75">
      <c r="A288" s="2"/>
      <c r="B288" s="2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spans="1:34" ht="12.75">
      <c r="A289" s="2"/>
      <c r="B289" s="2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spans="1:34" ht="12.75">
      <c r="A290" s="2"/>
      <c r="B290" s="2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spans="1:34" ht="12.75">
      <c r="A291" s="2"/>
      <c r="B291" s="2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spans="1:34" ht="12.75">
      <c r="A292" s="2"/>
      <c r="B292" s="2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spans="1:34" ht="12.75">
      <c r="A293" s="2"/>
      <c r="B293" s="2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spans="1:34" ht="12.75">
      <c r="A294" s="2"/>
      <c r="B294" s="2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</row>
    <row r="295" spans="1:34" ht="12.75">
      <c r="A295" s="2"/>
      <c r="B295" s="2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</row>
    <row r="296" spans="1:34" ht="12.75">
      <c r="A296" s="2"/>
      <c r="B296" s="2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</row>
    <row r="297" spans="1:34" ht="12.75">
      <c r="A297" s="2"/>
      <c r="B297" s="2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</row>
    <row r="298" spans="1:34" ht="12.75">
      <c r="A298" s="2"/>
      <c r="B298" s="2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</row>
    <row r="299" spans="1:34" ht="12.75">
      <c r="A299" s="2"/>
      <c r="B299" s="2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</row>
    <row r="300" spans="1:34" ht="12.75">
      <c r="A300" s="2"/>
      <c r="B300" s="2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</row>
    <row r="301" spans="1:34" ht="12.75">
      <c r="A301" s="2"/>
      <c r="B301" s="2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</row>
    <row r="302" spans="1:34" ht="12.75">
      <c r="A302" s="2"/>
      <c r="B302" s="2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</row>
    <row r="303" spans="1:34" ht="12.75">
      <c r="A303" s="2"/>
      <c r="B303" s="2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</row>
    <row r="304" spans="1:34" ht="12.75">
      <c r="A304" s="2"/>
      <c r="B304" s="2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</row>
    <row r="305" spans="1:34" ht="12.75">
      <c r="A305" s="2"/>
      <c r="B305" s="2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</row>
    <row r="306" spans="1:34" ht="12.75">
      <c r="A306" s="2"/>
      <c r="B306" s="2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</row>
    <row r="307" spans="1:34" ht="12.75">
      <c r="A307" s="2"/>
      <c r="B307" s="2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</row>
    <row r="308" spans="1:34" ht="12.75">
      <c r="A308" s="2"/>
      <c r="B308" s="2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</row>
    <row r="309" spans="1:34" ht="12.75">
      <c r="A309" s="2"/>
      <c r="B309" s="2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</row>
    <row r="310" spans="1:34" ht="12.75">
      <c r="A310" s="2"/>
      <c r="B310" s="2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</row>
    <row r="311" spans="1:34" ht="12.75">
      <c r="A311" s="2"/>
      <c r="B311" s="2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</row>
    <row r="312" spans="1:34" ht="12.75">
      <c r="A312" s="2"/>
      <c r="B312" s="2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</row>
    <row r="313" spans="1:34" ht="12.75">
      <c r="A313" s="2"/>
      <c r="B313" s="2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</row>
    <row r="314" spans="1:34" ht="12.75">
      <c r="A314" s="2"/>
      <c r="B314" s="2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</row>
    <row r="315" spans="1:34" ht="12.75">
      <c r="A315" s="2"/>
      <c r="B315" s="2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</row>
    <row r="316" spans="1:34" ht="12.75">
      <c r="A316" s="2"/>
      <c r="B316" s="2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</row>
    <row r="317" spans="1:34" ht="12.75">
      <c r="A317" s="2"/>
      <c r="B317" s="2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</row>
    <row r="318" spans="1:34" ht="12.75">
      <c r="A318" s="2"/>
      <c r="B318" s="2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</row>
    <row r="319" spans="1:34" ht="12.75">
      <c r="A319" s="2"/>
      <c r="B319" s="2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</row>
    <row r="320" spans="1:34" ht="12.75">
      <c r="A320" s="2"/>
      <c r="B320" s="2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</row>
    <row r="321" spans="1:34" ht="12.75">
      <c r="A321" s="2"/>
      <c r="B321" s="2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</row>
    <row r="322" spans="1:34" ht="12.75">
      <c r="A322" s="2"/>
      <c r="B322" s="2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</row>
    <row r="323" spans="1:34" ht="12.75">
      <c r="A323" s="2"/>
      <c r="B323" s="2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</row>
    <row r="324" spans="1:34" ht="12.75">
      <c r="A324" s="2"/>
      <c r="B324" s="2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</row>
    <row r="325" spans="1:34" ht="12.75">
      <c r="A325" s="2"/>
      <c r="B325" s="2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</row>
    <row r="326" spans="1:34" ht="12.75">
      <c r="A326" s="2"/>
      <c r="B326" s="2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</row>
    <row r="327" spans="1:34" ht="12.75">
      <c r="A327" s="2"/>
      <c r="B327" s="2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</row>
    <row r="328" spans="1:34" ht="12.75">
      <c r="A328" s="2"/>
      <c r="B328" s="2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</row>
    <row r="329" spans="1:34" ht="12.75">
      <c r="A329" s="2"/>
      <c r="B329" s="2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</row>
    <row r="330" spans="1:34" ht="12.75">
      <c r="A330" s="2"/>
      <c r="B330" s="2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</row>
    <row r="331" spans="1:34" ht="12.75">
      <c r="A331" s="2"/>
      <c r="B331" s="2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</row>
    <row r="332" spans="1:34" ht="12.75">
      <c r="A332" s="2"/>
      <c r="B332" s="2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</row>
    <row r="333" spans="1:34" ht="12.75">
      <c r="A333" s="2"/>
      <c r="B333" s="2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</row>
    <row r="334" spans="1:34" ht="12.75">
      <c r="A334" s="2"/>
      <c r="B334" s="2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</row>
    <row r="335" spans="1:34" ht="12.75">
      <c r="A335" s="2"/>
      <c r="B335" s="2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</row>
    <row r="336" spans="1:34" ht="12.75">
      <c r="A336" s="2"/>
      <c r="B336" s="2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</row>
    <row r="337" spans="1:34" ht="12.75">
      <c r="A337" s="2"/>
      <c r="B337" s="2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</row>
    <row r="338" spans="1:34" ht="12.75">
      <c r="A338" s="2"/>
      <c r="B338" s="2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</row>
    <row r="339" spans="1:34" ht="12.75">
      <c r="A339" s="2"/>
      <c r="B339" s="2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</row>
    <row r="340" spans="1:34" ht="12.75">
      <c r="A340" s="2"/>
      <c r="B340" s="2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</row>
    <row r="341" spans="1:34" ht="12.75">
      <c r="A341" s="2"/>
      <c r="B341" s="2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</row>
    <row r="342" spans="1:34" ht="12.75">
      <c r="A342" s="2"/>
      <c r="B342" s="2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</row>
    <row r="343" spans="1:34" ht="12.75">
      <c r="A343" s="2"/>
      <c r="B343" s="2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</row>
    <row r="344" spans="1:34" ht="12.75">
      <c r="A344" s="2"/>
      <c r="B344" s="2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</row>
    <row r="345" spans="1:34" ht="12.75">
      <c r="A345" s="2"/>
      <c r="B345" s="2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</row>
    <row r="346" spans="1:34" ht="12.75">
      <c r="A346" s="2"/>
      <c r="B346" s="2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</row>
    <row r="347" spans="1:34" ht="12.75">
      <c r="A347" s="2"/>
      <c r="B347" s="2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</row>
    <row r="348" spans="1:34" ht="12.75">
      <c r="A348" s="2"/>
      <c r="B348" s="2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</row>
    <row r="349" spans="1:34" ht="12.75">
      <c r="A349" s="2"/>
      <c r="B349" s="2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</row>
    <row r="350" spans="1:34" ht="12.75">
      <c r="A350" s="2"/>
      <c r="B350" s="2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</row>
    <row r="351" spans="1:34" ht="12.75">
      <c r="A351" s="2"/>
      <c r="B351" s="2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</row>
    <row r="352" spans="1:34" ht="12.75">
      <c r="A352" s="2"/>
      <c r="B352" s="2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</row>
    <row r="353" spans="1:34" ht="12.75">
      <c r="A353" s="2"/>
      <c r="B353" s="2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</row>
    <row r="354" spans="1:34" ht="12.75">
      <c r="A354" s="2"/>
      <c r="B354" s="2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</row>
    <row r="355" spans="1:34" ht="12.75">
      <c r="A355" s="2"/>
      <c r="B355" s="2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</row>
    <row r="356" spans="1:34" ht="12.75">
      <c r="A356" s="2"/>
      <c r="B356" s="2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</row>
    <row r="357" spans="1:34" ht="12.75">
      <c r="A357" s="2"/>
      <c r="B357" s="2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</row>
    <row r="358" spans="1:34" ht="12.75">
      <c r="A358" s="2"/>
      <c r="B358" s="2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</row>
    <row r="359" spans="1:34" ht="12.75">
      <c r="A359" s="2"/>
      <c r="B359" s="2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</row>
    <row r="360" spans="1:34" ht="12.75">
      <c r="A360" s="2"/>
      <c r="B360" s="2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</row>
    <row r="361" spans="1:34" ht="12.75">
      <c r="A361" s="2"/>
      <c r="B361" s="2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</row>
    <row r="362" spans="1:34" ht="12.75">
      <c r="A362" s="2"/>
      <c r="B362" s="2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</row>
    <row r="363" spans="1:34" ht="12.75">
      <c r="A363" s="2"/>
      <c r="B363" s="2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</row>
    <row r="364" spans="1:34" ht="12.75">
      <c r="A364" s="2"/>
      <c r="B364" s="2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</row>
    <row r="365" spans="1:34" ht="12.75">
      <c r="A365" s="2"/>
      <c r="B365" s="2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</row>
    <row r="366" spans="1:34" ht="12.75">
      <c r="A366" s="2"/>
      <c r="B366" s="2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</row>
    <row r="367" spans="1:34" ht="12.75">
      <c r="A367" s="2"/>
      <c r="B367" s="2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</row>
    <row r="368" spans="1:34" ht="12.75">
      <c r="A368" s="2"/>
      <c r="B368" s="2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</row>
    <row r="369" spans="1:34" ht="12.75">
      <c r="A369" s="2"/>
      <c r="B369" s="2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</row>
    <row r="370" spans="1:34" ht="12.75">
      <c r="A370" s="2"/>
      <c r="B370" s="2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</row>
    <row r="371" spans="1:34" ht="12.75">
      <c r="A371" s="2"/>
      <c r="B371" s="2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</row>
    <row r="372" spans="1:34" ht="12.75">
      <c r="A372" s="2"/>
      <c r="B372" s="2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</row>
    <row r="373" spans="1:34" ht="12.75">
      <c r="A373" s="2"/>
      <c r="B373" s="2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</row>
    <row r="374" spans="1:34" ht="12.75">
      <c r="A374" s="2"/>
      <c r="B374" s="2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</row>
    <row r="375" spans="1:34" ht="12.75">
      <c r="A375" s="2"/>
      <c r="B375" s="2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</row>
    <row r="376" spans="1:34" ht="12.75">
      <c r="A376" s="2"/>
      <c r="B376" s="2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</row>
    <row r="377" spans="1:34" ht="12.75">
      <c r="A377" s="2"/>
      <c r="B377" s="2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</row>
    <row r="378" spans="1:34" ht="12.75">
      <c r="A378" s="2"/>
      <c r="B378" s="2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</row>
    <row r="379" spans="1:34" ht="12.75">
      <c r="A379" s="2"/>
      <c r="B379" s="2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</row>
    <row r="380" spans="1:34" ht="12.75">
      <c r="A380" s="2"/>
      <c r="B380" s="2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</row>
    <row r="381" spans="1:34" ht="12.75">
      <c r="A381" s="2"/>
      <c r="B381" s="2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</row>
    <row r="382" spans="1:34" ht="12.75">
      <c r="A382" s="2"/>
      <c r="B382" s="2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</row>
    <row r="383" spans="1:34" ht="12.75">
      <c r="A383" s="2"/>
      <c r="B383" s="2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</row>
    <row r="384" spans="1:34" ht="12.75">
      <c r="A384" s="2"/>
      <c r="B384" s="2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</row>
    <row r="385" spans="1:34" ht="12.75">
      <c r="A385" s="2"/>
      <c r="B385" s="2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</row>
    <row r="386" spans="1:34" ht="12.75">
      <c r="A386" s="2"/>
      <c r="B386" s="2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</row>
    <row r="387" spans="1:34" ht="12.75">
      <c r="A387" s="2"/>
      <c r="B387" s="2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</row>
    <row r="388" spans="1:34" ht="12.75">
      <c r="A388" s="2"/>
      <c r="B388" s="2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</row>
    <row r="389" spans="1:34" ht="12.75">
      <c r="A389" s="2"/>
      <c r="B389" s="2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</row>
    <row r="390" spans="1:34" ht="12.75">
      <c r="A390" s="2"/>
      <c r="B390" s="2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</row>
    <row r="391" spans="1:34" ht="12.75">
      <c r="A391" s="2"/>
      <c r="B391" s="2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</row>
    <row r="392" spans="1:34" ht="12.75">
      <c r="A392" s="2"/>
      <c r="B392" s="2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</row>
    <row r="393" spans="1:34" ht="12.75">
      <c r="A393" s="2"/>
      <c r="B393" s="2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</row>
    <row r="394" spans="1:34" ht="12.75">
      <c r="A394" s="2"/>
      <c r="B394" s="2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</row>
    <row r="395" spans="1:34" ht="12.75">
      <c r="A395" s="2"/>
      <c r="B395" s="2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</row>
    <row r="396" spans="1:34" ht="12.75">
      <c r="A396" s="2"/>
      <c r="B396" s="2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</row>
    <row r="397" spans="1:34" ht="12.75">
      <c r="A397" s="2"/>
      <c r="B397" s="2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</row>
    <row r="398" spans="1:34" ht="12.75">
      <c r="A398" s="2"/>
      <c r="B398" s="2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</row>
    <row r="399" spans="1:34" ht="12.75">
      <c r="A399" s="2"/>
      <c r="B399" s="2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</row>
    <row r="400" spans="1:34" ht="12.75">
      <c r="A400" s="2"/>
      <c r="B400" s="2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</row>
    <row r="401" spans="1:34" ht="12.75">
      <c r="A401" s="2"/>
      <c r="B401" s="2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</row>
    <row r="402" spans="1:34" ht="12.75">
      <c r="A402" s="2"/>
      <c r="B402" s="2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</row>
    <row r="403" spans="1:34" ht="12.75">
      <c r="A403" s="2"/>
      <c r="B403" s="2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</row>
    <row r="404" spans="1:34" ht="12.75">
      <c r="A404" s="2"/>
      <c r="B404" s="2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</row>
    <row r="405" spans="1:34" ht="12.75">
      <c r="A405" s="2"/>
      <c r="B405" s="2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</row>
    <row r="406" spans="1:34" ht="12.75">
      <c r="A406" s="2"/>
      <c r="B406" s="2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</row>
    <row r="407" spans="1:34" ht="12.75">
      <c r="A407" s="2"/>
      <c r="B407" s="2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</row>
    <row r="408" spans="1:34" ht="12.75">
      <c r="A408" s="2"/>
      <c r="B408" s="2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</row>
    <row r="409" spans="1:34" ht="12.75">
      <c r="A409" s="2"/>
      <c r="B409" s="2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</row>
    <row r="410" spans="1:34" ht="12.75">
      <c r="A410" s="2"/>
      <c r="B410" s="2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</row>
    <row r="411" spans="1:34" ht="12.75">
      <c r="A411" s="2"/>
      <c r="B411" s="2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</row>
    <row r="412" spans="1:34" ht="12.75">
      <c r="A412" s="2"/>
      <c r="B412" s="2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</row>
    <row r="413" spans="1:34" ht="12.75">
      <c r="A413" s="2"/>
      <c r="B413" s="2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</row>
    <row r="414" spans="1:34" ht="12.75">
      <c r="A414" s="2"/>
      <c r="B414" s="2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</row>
    <row r="415" spans="1:34" ht="12.75">
      <c r="A415" s="2"/>
      <c r="B415" s="2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</row>
    <row r="416" spans="1:34" ht="12.75">
      <c r="A416" s="2"/>
      <c r="B416" s="2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</row>
    <row r="417" spans="1:34" ht="12.75">
      <c r="A417" s="2"/>
      <c r="B417" s="2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</row>
    <row r="418" spans="1:34" ht="12.75">
      <c r="A418" s="2"/>
      <c r="B418" s="2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</row>
    <row r="419" spans="1:34" ht="12.75">
      <c r="A419" s="2"/>
      <c r="B419" s="2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</row>
    <row r="420" spans="1:34" ht="12.75">
      <c r="A420" s="2"/>
      <c r="B420" s="2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</row>
    <row r="421" spans="1:34" ht="12.75">
      <c r="A421" s="2"/>
      <c r="B421" s="2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</row>
    <row r="422" spans="1:34" ht="12.75">
      <c r="A422" s="2"/>
      <c r="B422" s="2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</row>
    <row r="423" spans="1:34" ht="12.75">
      <c r="A423" s="2"/>
      <c r="B423" s="2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</row>
    <row r="424" spans="1:34" ht="12.75">
      <c r="A424" s="2"/>
      <c r="B424" s="2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</row>
    <row r="425" spans="1:34" ht="12.75">
      <c r="A425" s="2"/>
      <c r="B425" s="2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</row>
    <row r="426" spans="1:34" ht="12.75">
      <c r="A426" s="2"/>
      <c r="B426" s="2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</row>
    <row r="427" spans="1:34" ht="12.75">
      <c r="A427" s="2"/>
      <c r="B427" s="2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</row>
    <row r="428" spans="1:34" ht="12.75">
      <c r="A428" s="2"/>
      <c r="B428" s="2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</row>
    <row r="429" spans="1:34" ht="12.75">
      <c r="A429" s="2"/>
      <c r="B429" s="2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</row>
    <row r="430" spans="1:34" ht="12.75">
      <c r="A430" s="2"/>
      <c r="B430" s="2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</row>
    <row r="431" spans="1:34" ht="12.75">
      <c r="A431" s="2"/>
      <c r="B431" s="2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</row>
    <row r="432" spans="1:34" ht="12.75">
      <c r="A432" s="2"/>
      <c r="B432" s="2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</row>
    <row r="433" spans="1:34" ht="12.75">
      <c r="A433" s="2"/>
      <c r="B433" s="2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</row>
    <row r="434" spans="1:34" ht="12.75">
      <c r="A434" s="2"/>
      <c r="B434" s="2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</row>
    <row r="435" spans="1:34" ht="12.75">
      <c r="A435" s="2"/>
      <c r="B435" s="2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</row>
    <row r="436" spans="1:34" ht="12.75">
      <c r="A436" s="2"/>
      <c r="B436" s="2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</row>
    <row r="437" spans="1:34" ht="12.75">
      <c r="A437" s="2"/>
      <c r="B437" s="2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</row>
    <row r="438" spans="1:34" ht="12.75">
      <c r="A438" s="2"/>
      <c r="B438" s="2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</row>
    <row r="439" spans="1:34" ht="12.75">
      <c r="A439" s="2"/>
      <c r="B439" s="2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</row>
    <row r="440" spans="1:34" ht="12.75">
      <c r="A440" s="2"/>
      <c r="B440" s="2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</row>
    <row r="441" spans="1:34" ht="12.75">
      <c r="A441" s="2"/>
      <c r="B441" s="2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</row>
    <row r="442" spans="1:34" ht="12.75">
      <c r="A442" s="2"/>
      <c r="B442" s="2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</row>
    <row r="443" spans="1:34" ht="12.75">
      <c r="A443" s="2"/>
      <c r="B443" s="2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</row>
    <row r="444" spans="1:34" ht="12.75">
      <c r="A444" s="2"/>
      <c r="B444" s="2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</row>
    <row r="445" spans="1:34" ht="12.75">
      <c r="A445" s="2"/>
      <c r="B445" s="2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</row>
    <row r="446" spans="1:34" ht="12.75">
      <c r="A446" s="2"/>
      <c r="B446" s="2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</row>
    <row r="447" spans="1:34" ht="12.75">
      <c r="A447" s="2"/>
      <c r="B447" s="2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</row>
    <row r="448" spans="1:34" ht="12.75">
      <c r="A448" s="2"/>
      <c r="B448" s="2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</row>
    <row r="449" spans="1:34" ht="12.75">
      <c r="A449" s="2"/>
      <c r="B449" s="2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</row>
    <row r="450" spans="1:34" ht="12.75">
      <c r="A450" s="2"/>
      <c r="B450" s="2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</row>
    <row r="451" spans="1:34" ht="12.75">
      <c r="A451" s="2"/>
      <c r="B451" s="2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</row>
    <row r="452" spans="1:34" ht="12.75">
      <c r="A452" s="2"/>
      <c r="B452" s="2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</row>
    <row r="453" spans="1:34" ht="12.75">
      <c r="A453" s="2"/>
      <c r="B453" s="2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</row>
    <row r="454" spans="1:34" ht="12.75">
      <c r="A454" s="2"/>
      <c r="B454" s="2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</row>
    <row r="455" spans="1:34" ht="12.75">
      <c r="A455" s="2"/>
      <c r="B455" s="2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</row>
    <row r="456" spans="1:34" ht="12.75">
      <c r="A456" s="2"/>
      <c r="B456" s="2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</row>
    <row r="457" spans="1:34" ht="12.75">
      <c r="A457" s="2"/>
      <c r="B457" s="2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</row>
    <row r="458" spans="1:34" ht="12.75">
      <c r="A458" s="2"/>
      <c r="B458" s="2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</row>
    <row r="459" spans="1:34" ht="12.75">
      <c r="A459" s="2"/>
      <c r="B459" s="2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</row>
    <row r="460" spans="1:34" ht="12.75">
      <c r="A460" s="2"/>
      <c r="B460" s="2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</row>
    <row r="461" spans="1:34" ht="12.75">
      <c r="A461" s="2"/>
      <c r="B461" s="2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</row>
    <row r="462" spans="1:34" ht="12.75">
      <c r="A462" s="2"/>
      <c r="B462" s="2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</row>
    <row r="463" spans="1:34" ht="12.75">
      <c r="A463" s="2"/>
      <c r="B463" s="2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</row>
    <row r="464" spans="1:34" ht="12.75">
      <c r="A464" s="2"/>
      <c r="B464" s="2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</row>
    <row r="465" spans="1:34" ht="12.75">
      <c r="A465" s="2"/>
      <c r="B465" s="2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</row>
    <row r="466" spans="1:34" ht="12.75">
      <c r="A466" s="2"/>
      <c r="B466" s="2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</row>
    <row r="467" spans="1:34" ht="12.75">
      <c r="A467" s="2"/>
      <c r="B467" s="2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</row>
    <row r="468" spans="1:34" ht="12.75">
      <c r="A468" s="2"/>
      <c r="B468" s="2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</row>
    <row r="469" spans="1:34" ht="12.75">
      <c r="A469" s="2"/>
      <c r="B469" s="2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</row>
    <row r="470" spans="1:34" ht="12.75">
      <c r="A470" s="2"/>
      <c r="B470" s="2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</row>
    <row r="471" spans="1:34" ht="12.75">
      <c r="A471" s="2"/>
      <c r="B471" s="2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</row>
    <row r="472" spans="1:34" ht="12.75">
      <c r="A472" s="2"/>
      <c r="B472" s="2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</row>
    <row r="473" spans="1:34" ht="12.75">
      <c r="A473" s="2"/>
      <c r="B473" s="2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</row>
    <row r="474" spans="1:34" ht="12.75">
      <c r="A474" s="2"/>
      <c r="B474" s="2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</row>
    <row r="475" spans="1:34" ht="12.75">
      <c r="A475" s="2"/>
      <c r="B475" s="2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</row>
    <row r="476" spans="1:34" ht="12.75">
      <c r="A476" s="2"/>
      <c r="B476" s="2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</row>
    <row r="477" spans="1:34" ht="12.75">
      <c r="A477" s="2"/>
      <c r="B477" s="2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</row>
    <row r="478" spans="1:34" ht="12.75">
      <c r="A478" s="2"/>
      <c r="B478" s="2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</row>
    <row r="479" spans="1:34" ht="12.75">
      <c r="A479" s="2"/>
      <c r="B479" s="2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</row>
    <row r="480" spans="1:34" ht="12.75">
      <c r="A480" s="2"/>
      <c r="B480" s="2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</row>
    <row r="481" spans="1:34" ht="12.75">
      <c r="A481" s="2"/>
      <c r="B481" s="2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</row>
    <row r="482" spans="1:34" ht="12.75">
      <c r="A482" s="2"/>
      <c r="B482" s="2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</row>
    <row r="483" spans="1:34" ht="12.75">
      <c r="A483" s="2"/>
      <c r="B483" s="2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</row>
    <row r="484" spans="1:34" ht="12.75">
      <c r="A484" s="2"/>
      <c r="B484" s="2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</row>
    <row r="485" spans="1:34" ht="12.75">
      <c r="A485" s="2"/>
      <c r="B485" s="2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</row>
    <row r="486" spans="1:34" ht="12.75">
      <c r="A486" s="2"/>
      <c r="B486" s="2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</row>
    <row r="487" spans="1:34" ht="12.75">
      <c r="A487" s="2"/>
      <c r="B487" s="2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</row>
    <row r="488" spans="1:34" ht="12.75">
      <c r="A488" s="2"/>
      <c r="B488" s="2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</row>
    <row r="489" spans="1:34" ht="12.75">
      <c r="A489" s="2"/>
      <c r="B489" s="2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</row>
    <row r="490" spans="1:34" ht="12.75">
      <c r="A490" s="2"/>
      <c r="B490" s="2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</row>
    <row r="491" spans="1:34" ht="12.75">
      <c r="A491" s="2"/>
      <c r="B491" s="2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</row>
    <row r="492" spans="1:34" ht="12.75">
      <c r="A492" s="2"/>
      <c r="B492" s="2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</row>
    <row r="493" spans="1:34" ht="12.75">
      <c r="A493" s="2"/>
      <c r="B493" s="2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</row>
    <row r="494" spans="1:34" ht="12.75">
      <c r="A494" s="2"/>
      <c r="B494" s="2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</row>
    <row r="495" spans="1:34" ht="12.75">
      <c r="A495" s="2"/>
      <c r="B495" s="2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</row>
    <row r="496" spans="1:34" ht="12.75">
      <c r="A496" s="2"/>
      <c r="B496" s="2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</row>
    <row r="497" spans="1:34" ht="12.75">
      <c r="A497" s="2"/>
      <c r="B497" s="2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</row>
    <row r="498" spans="1:34" ht="12.75">
      <c r="A498" s="2"/>
      <c r="B498" s="2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</row>
    <row r="499" spans="1:34" ht="12.75">
      <c r="A499" s="2"/>
      <c r="B499" s="2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</row>
    <row r="500" spans="1:34" ht="12.75">
      <c r="A500" s="2"/>
      <c r="B500" s="2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</row>
    <row r="501" spans="1:34" ht="12.75">
      <c r="A501" s="2"/>
      <c r="B501" s="2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</row>
    <row r="502" spans="1:34" ht="12.75">
      <c r="A502" s="2"/>
      <c r="B502" s="2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</row>
    <row r="503" spans="1:34" ht="12.75">
      <c r="A503" s="2"/>
      <c r="B503" s="2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</row>
    <row r="504" spans="1:34" ht="12.75">
      <c r="A504" s="2"/>
      <c r="B504" s="2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</row>
    <row r="505" spans="1:34" ht="12.75">
      <c r="A505" s="2"/>
      <c r="B505" s="2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</row>
    <row r="506" spans="1:34" ht="12.75">
      <c r="A506" s="2"/>
      <c r="B506" s="2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</row>
    <row r="507" spans="1:34" ht="12.75">
      <c r="A507" s="2"/>
      <c r="B507" s="2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</row>
    <row r="508" spans="1:34" ht="12.75">
      <c r="A508" s="2"/>
      <c r="B508" s="2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</row>
    <row r="509" spans="1:34" ht="12.75">
      <c r="A509" s="2"/>
      <c r="B509" s="2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</row>
    <row r="510" spans="1:34" ht="12.75">
      <c r="A510" s="2"/>
      <c r="B510" s="2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</row>
    <row r="511" spans="1:34" ht="12.75">
      <c r="A511" s="2"/>
      <c r="B511" s="2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</row>
    <row r="512" spans="1:34" ht="12.75">
      <c r="A512" s="2"/>
      <c r="B512" s="2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</row>
    <row r="513" spans="1:34" ht="12.75">
      <c r="A513" s="2"/>
      <c r="B513" s="2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</row>
    <row r="514" spans="1:34" ht="12.75">
      <c r="A514" s="2"/>
      <c r="B514" s="2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</row>
    <row r="515" spans="1:34" ht="12.75">
      <c r="A515" s="2"/>
      <c r="B515" s="2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</row>
    <row r="516" spans="1:34" ht="12.75">
      <c r="A516" s="2"/>
      <c r="B516" s="2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</row>
    <row r="517" spans="1:34" ht="12.75">
      <c r="A517" s="2"/>
      <c r="B517" s="2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</row>
    <row r="518" spans="1:34" ht="12.75">
      <c r="A518" s="2"/>
      <c r="B518" s="2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</row>
    <row r="519" spans="1:34" ht="12.75">
      <c r="A519" s="2"/>
      <c r="B519" s="2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</row>
    <row r="520" spans="1:34" ht="12.75">
      <c r="A520" s="2"/>
      <c r="B520" s="2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</row>
    <row r="521" spans="1:34" ht="12.75">
      <c r="A521" s="2"/>
      <c r="B521" s="2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</row>
    <row r="522" spans="1:34" ht="12.75">
      <c r="A522" s="2"/>
      <c r="B522" s="2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</row>
    <row r="523" spans="1:34" ht="12.75">
      <c r="A523" s="2"/>
      <c r="B523" s="2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</row>
    <row r="524" spans="1:34" ht="12.75">
      <c r="A524" s="2"/>
      <c r="B524" s="2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</row>
    <row r="525" spans="1:34" ht="12.75">
      <c r="A525" s="2"/>
      <c r="B525" s="2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</row>
    <row r="526" spans="1:34" ht="12.75">
      <c r="A526" s="2"/>
      <c r="B526" s="2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</row>
    <row r="527" spans="1:34" ht="12.75">
      <c r="A527" s="2"/>
      <c r="B527" s="2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</row>
    <row r="528" spans="1:34" ht="12.75">
      <c r="A528" s="2"/>
      <c r="B528" s="2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</row>
    <row r="529" spans="1:34" ht="12.75">
      <c r="A529" s="2"/>
      <c r="B529" s="2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</row>
    <row r="530" spans="1:34" ht="12.75">
      <c r="A530" s="2"/>
      <c r="B530" s="2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</row>
    <row r="531" spans="1:34" ht="12.75">
      <c r="A531" s="2"/>
      <c r="B531" s="2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</row>
    <row r="532" spans="1:34" ht="12.75">
      <c r="A532" s="2"/>
      <c r="B532" s="2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</row>
    <row r="533" spans="1:34" ht="12.75">
      <c r="A533" s="2"/>
      <c r="B533" s="2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</row>
    <row r="534" spans="1:34" ht="12.75">
      <c r="A534" s="2"/>
      <c r="B534" s="2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</row>
    <row r="535" spans="1:34" ht="12.75">
      <c r="A535" s="2"/>
      <c r="B535" s="2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</row>
    <row r="536" spans="1:34" ht="12.75">
      <c r="A536" s="2"/>
      <c r="B536" s="2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</row>
    <row r="537" spans="1:34" ht="12.75">
      <c r="A537" s="2"/>
      <c r="B537" s="2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</row>
    <row r="538" spans="1:34" ht="12.75">
      <c r="A538" s="2"/>
      <c r="B538" s="2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</row>
    <row r="539" spans="1:34" ht="12.75">
      <c r="A539" s="2"/>
      <c r="B539" s="2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</row>
    <row r="540" spans="1:34" ht="12.75">
      <c r="A540" s="2"/>
      <c r="B540" s="2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</row>
    <row r="541" spans="1:34" ht="12.75">
      <c r="A541" s="2"/>
      <c r="B541" s="2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</row>
    <row r="542" spans="1:34" ht="12.75">
      <c r="A542" s="2"/>
      <c r="B542" s="2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</row>
    <row r="543" spans="1:34" ht="12.75">
      <c r="A543" s="2"/>
      <c r="B543" s="2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</row>
    <row r="544" spans="1:34" ht="12.75">
      <c r="A544" s="2"/>
      <c r="B544" s="2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</row>
    <row r="545" spans="1:34" ht="12.75">
      <c r="A545" s="2"/>
      <c r="B545" s="2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</row>
    <row r="546" spans="1:34" ht="12.75">
      <c r="A546" s="2"/>
      <c r="B546" s="2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</row>
    <row r="547" spans="1:34" ht="12.75">
      <c r="A547" s="2"/>
      <c r="B547" s="2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</row>
    <row r="548" spans="1:34" ht="12.75">
      <c r="A548" s="2"/>
      <c r="B548" s="2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</row>
    <row r="549" spans="1:34" ht="12.75">
      <c r="A549" s="2"/>
      <c r="B549" s="2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</row>
    <row r="550" spans="1:34" ht="12.75">
      <c r="A550" s="2"/>
      <c r="B550" s="2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</row>
    <row r="551" spans="1:34" ht="12.75">
      <c r="A551" s="2"/>
      <c r="B551" s="2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</row>
    <row r="552" spans="1:34" ht="12.75">
      <c r="A552" s="2"/>
      <c r="B552" s="2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</row>
    <row r="553" spans="1:34" ht="12.75">
      <c r="A553" s="2"/>
      <c r="B553" s="2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</row>
    <row r="554" spans="1:34" ht="12.75">
      <c r="A554" s="2"/>
      <c r="B554" s="2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</row>
    <row r="555" spans="1:34" ht="12.75">
      <c r="A555" s="2"/>
      <c r="B555" s="2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</row>
    <row r="556" spans="1:34" ht="12.75">
      <c r="A556" s="2"/>
      <c r="B556" s="2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</row>
    <row r="557" spans="1:34" ht="12.75">
      <c r="A557" s="2"/>
      <c r="B557" s="2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</row>
    <row r="558" spans="1:34" ht="12.75">
      <c r="A558" s="2"/>
      <c r="B558" s="2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</row>
    <row r="559" spans="1:34" ht="12.75">
      <c r="A559" s="2"/>
      <c r="B559" s="2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</row>
    <row r="560" spans="1:34" ht="12.75">
      <c r="A560" s="2"/>
      <c r="B560" s="2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</row>
    <row r="561" spans="1:34" ht="12.75">
      <c r="A561" s="2"/>
      <c r="B561" s="2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</row>
    <row r="562" spans="1:34" ht="12.75">
      <c r="A562" s="2"/>
      <c r="B562" s="2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</row>
    <row r="563" spans="1:34" ht="12.75">
      <c r="A563" s="2"/>
      <c r="B563" s="2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</row>
    <row r="564" spans="1:34" ht="12.75">
      <c r="A564" s="2"/>
      <c r="B564" s="2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</row>
    <row r="565" spans="1:34" ht="12.75">
      <c r="A565" s="2"/>
      <c r="B565" s="2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</row>
    <row r="566" spans="1:34" ht="12.75">
      <c r="A566" s="2"/>
      <c r="B566" s="2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</row>
    <row r="567" spans="1:34" ht="12.75">
      <c r="A567" s="2"/>
      <c r="B567" s="2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</row>
    <row r="568" spans="1:34" ht="12.75">
      <c r="A568" s="2"/>
      <c r="B568" s="2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</row>
    <row r="569" spans="1:34" ht="12.75">
      <c r="A569" s="2"/>
      <c r="B569" s="2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</row>
    <row r="570" spans="1:34" ht="12.75">
      <c r="A570" s="2"/>
      <c r="B570" s="2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</row>
    <row r="571" spans="1:34" ht="12.75">
      <c r="A571" s="2"/>
      <c r="B571" s="2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</row>
    <row r="572" spans="1:34" ht="12.75">
      <c r="A572" s="2"/>
      <c r="B572" s="2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</row>
    <row r="573" spans="1:34" ht="12.75">
      <c r="A573" s="2"/>
      <c r="B573" s="2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</row>
    <row r="574" spans="1:34" ht="12.75">
      <c r="A574" s="2"/>
      <c r="B574" s="2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</row>
    <row r="575" spans="1:34" ht="12.75">
      <c r="A575" s="2"/>
      <c r="B575" s="2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</row>
    <row r="576" spans="1:34" ht="12.75">
      <c r="A576" s="2"/>
      <c r="B576" s="2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</row>
    <row r="577" spans="1:34" ht="12.75">
      <c r="A577" s="2"/>
      <c r="B577" s="2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</row>
    <row r="578" spans="1:34" ht="12.75">
      <c r="A578" s="2"/>
      <c r="B578" s="2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</row>
    <row r="579" spans="1:34" ht="12.75">
      <c r="A579" s="2"/>
      <c r="B579" s="2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</row>
    <row r="580" spans="1:34" ht="12.75">
      <c r="A580" s="2"/>
      <c r="B580" s="2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</row>
    <row r="581" spans="1:34" ht="12.75">
      <c r="A581" s="2"/>
      <c r="B581" s="2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</row>
    <row r="582" spans="1:34" ht="12.75">
      <c r="A582" s="2"/>
      <c r="B582" s="2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</row>
    <row r="583" spans="1:34" ht="12.75">
      <c r="A583" s="2"/>
      <c r="B583" s="2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</row>
    <row r="584" spans="1:34" ht="12.75">
      <c r="A584" s="2"/>
      <c r="B584" s="2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</row>
    <row r="585" spans="1:34" ht="12.75">
      <c r="A585" s="2"/>
      <c r="B585" s="2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</row>
    <row r="586" spans="1:34" ht="12.75">
      <c r="A586" s="2"/>
      <c r="B586" s="2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</row>
    <row r="587" spans="1:34" ht="12.75">
      <c r="A587" s="2"/>
      <c r="B587" s="2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</row>
    <row r="588" spans="1:34" ht="12.75">
      <c r="A588" s="2"/>
      <c r="B588" s="2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</row>
    <row r="589" spans="1:34" ht="12.75">
      <c r="A589" s="2"/>
      <c r="B589" s="2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</row>
    <row r="590" spans="1:34" ht="12.75">
      <c r="A590" s="2"/>
      <c r="B590" s="2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</row>
    <row r="591" spans="1:34" ht="12.75">
      <c r="A591" s="2"/>
      <c r="B591" s="2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</row>
    <row r="592" spans="1:34" ht="12.75">
      <c r="A592" s="2"/>
      <c r="B592" s="2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</row>
    <row r="593" spans="1:34" ht="12.75">
      <c r="A593" s="2"/>
      <c r="B593" s="2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</row>
    <row r="594" spans="1:34" ht="12.75">
      <c r="A594" s="2"/>
      <c r="B594" s="2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</row>
    <row r="595" spans="1:34" ht="12.75">
      <c r="A595" s="2"/>
      <c r="B595" s="2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</row>
    <row r="596" spans="1:34" ht="12.75">
      <c r="A596" s="2"/>
      <c r="B596" s="2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</row>
    <row r="597" spans="1:34" ht="12.75">
      <c r="A597" s="2"/>
      <c r="B597" s="2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</row>
    <row r="598" spans="1:34" ht="12.75">
      <c r="A598" s="2"/>
      <c r="B598" s="2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</row>
    <row r="599" spans="1:34" ht="12.75">
      <c r="A599" s="2"/>
      <c r="B599" s="2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</row>
    <row r="600" spans="1:34" ht="12.75">
      <c r="A600" s="2"/>
      <c r="B600" s="2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</row>
    <row r="601" spans="1:34" ht="12.75">
      <c r="A601" s="2"/>
      <c r="B601" s="2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</row>
    <row r="602" spans="1:34" ht="12.75">
      <c r="A602" s="2"/>
      <c r="B602" s="2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</row>
    <row r="603" spans="1:34" ht="12.75">
      <c r="A603" s="2"/>
      <c r="B603" s="2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</row>
    <row r="604" spans="1:34" ht="12.75">
      <c r="A604" s="2"/>
      <c r="B604" s="2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</row>
    <row r="605" spans="1:34" ht="12.75">
      <c r="A605" s="2"/>
      <c r="B605" s="2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</row>
    <row r="606" spans="1:34" ht="12.75">
      <c r="A606" s="2"/>
      <c r="B606" s="2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</row>
    <row r="607" spans="1:34" ht="12.75">
      <c r="A607" s="2"/>
      <c r="B607" s="2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</row>
    <row r="608" spans="1:34" ht="12.75">
      <c r="A608" s="2"/>
      <c r="B608" s="2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</row>
    <row r="609" spans="1:34" ht="12.75">
      <c r="A609" s="2"/>
      <c r="B609" s="2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</row>
    <row r="610" spans="1:34" ht="12.75">
      <c r="A610" s="2"/>
      <c r="B610" s="2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</row>
    <row r="611" spans="1:34" ht="12.75">
      <c r="A611" s="2"/>
      <c r="B611" s="2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</row>
    <row r="612" spans="1:34" ht="12.75">
      <c r="A612" s="2"/>
      <c r="B612" s="2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</row>
    <row r="613" spans="1:34" ht="12.75">
      <c r="A613" s="2"/>
      <c r="B613" s="2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</row>
    <row r="614" spans="1:34" ht="12.75">
      <c r="A614" s="2"/>
      <c r="B614" s="2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</row>
    <row r="615" spans="1:34" ht="12.75">
      <c r="A615" s="2"/>
      <c r="B615" s="2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</row>
    <row r="616" spans="1:34" ht="12.75">
      <c r="A616" s="2"/>
      <c r="B616" s="2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</row>
    <row r="617" spans="1:34" ht="12.75">
      <c r="A617" s="2"/>
      <c r="B617" s="2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</row>
    <row r="618" spans="1:34" ht="12.75">
      <c r="A618" s="2"/>
      <c r="B618" s="2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</row>
    <row r="619" spans="1:34" ht="12.75">
      <c r="A619" s="2"/>
      <c r="B619" s="2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</row>
    <row r="620" spans="1:34" ht="12.75">
      <c r="A620" s="2"/>
      <c r="B620" s="2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</row>
    <row r="621" spans="1:34" ht="12.75">
      <c r="A621" s="2"/>
      <c r="B621" s="2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</row>
    <row r="622" spans="1:34" ht="12.75">
      <c r="A622" s="2"/>
      <c r="B622" s="2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</row>
    <row r="623" spans="1:34" ht="12.75">
      <c r="A623" s="2"/>
      <c r="B623" s="2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</row>
    <row r="624" spans="1:34" ht="12.75">
      <c r="A624" s="2"/>
      <c r="B624" s="2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</row>
    <row r="625" spans="1:34" ht="12.75">
      <c r="A625" s="2"/>
      <c r="B625" s="2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</row>
    <row r="626" spans="1:34" ht="12.75">
      <c r="A626" s="2"/>
      <c r="B626" s="2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</row>
    <row r="627" spans="1:34" ht="12.75">
      <c r="A627" s="2"/>
      <c r="B627" s="2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</row>
    <row r="628" spans="1:34" ht="12.75">
      <c r="A628" s="2"/>
      <c r="B628" s="2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</row>
    <row r="629" spans="1:34" ht="12.75">
      <c r="A629" s="2"/>
      <c r="B629" s="2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</row>
    <row r="630" spans="1:34" ht="12.75">
      <c r="A630" s="2"/>
      <c r="B630" s="2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</row>
    <row r="631" spans="1:34" ht="12.75">
      <c r="A631" s="2"/>
      <c r="B631" s="2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</row>
    <row r="632" spans="1:34" ht="12.75">
      <c r="A632" s="2"/>
      <c r="B632" s="2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</row>
    <row r="633" spans="1:34" ht="12.75">
      <c r="A633" s="2"/>
      <c r="B633" s="2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</row>
    <row r="634" spans="1:34" ht="12.75">
      <c r="A634" s="2"/>
      <c r="B634" s="2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</row>
    <row r="635" spans="1:34" ht="12.75">
      <c r="A635" s="2"/>
      <c r="B635" s="2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</row>
    <row r="636" spans="1:34" ht="12.75">
      <c r="A636" s="2"/>
      <c r="B636" s="2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</row>
    <row r="637" spans="1:34" ht="12.75">
      <c r="A637" s="2"/>
      <c r="B637" s="2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</row>
    <row r="638" spans="1:34" ht="12.75">
      <c r="A638" s="2"/>
      <c r="B638" s="2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</row>
    <row r="639" spans="1:34" ht="12.75">
      <c r="A639" s="2"/>
      <c r="B639" s="2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</row>
    <row r="640" spans="1:34" ht="12.75">
      <c r="A640" s="2"/>
      <c r="B640" s="2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</row>
    <row r="641" spans="1:34" ht="12.75">
      <c r="A641" s="2"/>
      <c r="B641" s="2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</row>
    <row r="642" spans="1:34" ht="12.75">
      <c r="A642" s="2"/>
      <c r="B642" s="2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</row>
    <row r="643" spans="1:34" ht="12.75">
      <c r="A643" s="2"/>
      <c r="B643" s="2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</row>
    <row r="644" spans="1:34" ht="12.75">
      <c r="A644" s="2"/>
      <c r="B644" s="2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</row>
    <row r="645" spans="1:34" ht="12.75">
      <c r="A645" s="2"/>
      <c r="B645" s="2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</row>
    <row r="646" spans="1:34" ht="12.75">
      <c r="A646" s="2"/>
      <c r="B646" s="2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</row>
    <row r="647" spans="1:34" ht="12.75">
      <c r="A647" s="2"/>
      <c r="B647" s="2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</row>
    <row r="648" spans="1:34" ht="12.75">
      <c r="A648" s="2"/>
      <c r="B648" s="2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</row>
    <row r="649" spans="1:34" ht="12.75">
      <c r="A649" s="2"/>
      <c r="B649" s="2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</row>
    <row r="650" spans="1:34" ht="12.75">
      <c r="A650" s="2"/>
      <c r="B650" s="2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</row>
    <row r="651" spans="1:34" ht="12.75">
      <c r="A651" s="2"/>
      <c r="B651" s="2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</row>
    <row r="652" spans="1:34" ht="12.75">
      <c r="A652" s="2"/>
      <c r="B652" s="2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</row>
    <row r="653" spans="1:34" ht="12.75">
      <c r="A653" s="2"/>
      <c r="B653" s="2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</row>
    <row r="654" spans="1:34" ht="12.75">
      <c r="A654" s="2"/>
      <c r="B654" s="2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</row>
    <row r="655" spans="1:34" ht="12.75">
      <c r="A655" s="2"/>
      <c r="B655" s="2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</row>
    <row r="656" spans="1:34" ht="12.75">
      <c r="A656" s="2"/>
      <c r="B656" s="2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</row>
    <row r="657" spans="1:34" ht="12.75">
      <c r="A657" s="2"/>
      <c r="B657" s="2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</row>
    <row r="658" spans="1:34" ht="12.75">
      <c r="A658" s="2"/>
      <c r="B658" s="2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</row>
    <row r="659" spans="1:34" ht="12.75">
      <c r="A659" s="2"/>
      <c r="B659" s="2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</row>
    <row r="660" spans="1:34" ht="12.75">
      <c r="A660" s="2"/>
      <c r="B660" s="2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</row>
    <row r="661" spans="1:34" ht="12.75">
      <c r="A661" s="2"/>
      <c r="B661" s="2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</row>
    <row r="662" spans="1:34" ht="12.75">
      <c r="A662" s="2"/>
      <c r="B662" s="2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</row>
    <row r="663" spans="1:34" ht="12.75">
      <c r="A663" s="2"/>
      <c r="B663" s="2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</row>
    <row r="664" spans="1:34" ht="12.75">
      <c r="A664" s="2"/>
      <c r="B664" s="2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</row>
    <row r="665" spans="1:34" ht="12.75">
      <c r="A665" s="2"/>
      <c r="B665" s="2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</row>
    <row r="666" spans="1:34" ht="12.75">
      <c r="A666" s="2"/>
      <c r="B666" s="2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</row>
    <row r="667" spans="1:34" ht="12.75">
      <c r="A667" s="2"/>
      <c r="B667" s="2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</row>
    <row r="668" spans="1:34" ht="12.75">
      <c r="A668" s="2"/>
      <c r="B668" s="2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</row>
    <row r="669" spans="1:34" ht="12.75">
      <c r="A669" s="2"/>
      <c r="B669" s="2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</row>
    <row r="670" spans="1:34" ht="12.75">
      <c r="A670" s="2"/>
      <c r="B670" s="2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</row>
    <row r="671" spans="1:34" ht="12.75">
      <c r="A671" s="2"/>
      <c r="B671" s="2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</row>
    <row r="672" spans="1:34" ht="12.75">
      <c r="A672" s="2"/>
      <c r="B672" s="2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</row>
    <row r="673" spans="1:34" ht="12.75">
      <c r="A673" s="2"/>
      <c r="B673" s="2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</row>
    <row r="674" spans="1:34" ht="12.75">
      <c r="A674" s="2"/>
      <c r="B674" s="2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</row>
    <row r="675" spans="1:34" ht="12.75">
      <c r="A675" s="2"/>
      <c r="B675" s="2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</row>
    <row r="676" spans="1:34" ht="12.75">
      <c r="A676" s="2"/>
      <c r="B676" s="2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</row>
    <row r="677" spans="1:34" ht="12.75">
      <c r="A677" s="2"/>
      <c r="B677" s="2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</row>
    <row r="678" spans="1:34" ht="12.75">
      <c r="A678" s="2"/>
      <c r="B678" s="2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</row>
    <row r="679" spans="1:34" ht="12.75">
      <c r="A679" s="2"/>
      <c r="B679" s="2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</row>
    <row r="680" spans="1:34" ht="12.75">
      <c r="A680" s="2"/>
      <c r="B680" s="2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</row>
    <row r="681" spans="1:34" ht="12.75">
      <c r="A681" s="2"/>
      <c r="B681" s="2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</row>
    <row r="682" spans="1:34" ht="12.75">
      <c r="A682" s="2"/>
      <c r="B682" s="2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</row>
    <row r="683" spans="1:34" ht="12.75">
      <c r="A683" s="2"/>
      <c r="B683" s="2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</row>
    <row r="684" spans="1:34" ht="12.75">
      <c r="A684" s="2"/>
      <c r="B684" s="2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</row>
    <row r="685" spans="1:34" ht="12.75">
      <c r="A685" s="2"/>
      <c r="B685" s="2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</row>
    <row r="686" spans="1:34" ht="12.75">
      <c r="A686" s="2"/>
      <c r="B686" s="2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</row>
    <row r="687" spans="1:34" ht="12.75">
      <c r="A687" s="2"/>
      <c r="B687" s="2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</row>
    <row r="688" spans="1:34" ht="12.75">
      <c r="A688" s="2"/>
      <c r="B688" s="2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</row>
    <row r="689" spans="1:34" ht="12.75">
      <c r="A689" s="2"/>
      <c r="B689" s="2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</row>
    <row r="690" spans="1:34" ht="12.75">
      <c r="A690" s="2"/>
      <c r="B690" s="2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</row>
    <row r="691" spans="1:34" ht="12.75">
      <c r="A691" s="2"/>
      <c r="B691" s="2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</row>
    <row r="692" spans="1:34" ht="12.75">
      <c r="A692" s="2"/>
      <c r="B692" s="2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</row>
    <row r="693" spans="1:34" ht="12.75">
      <c r="A693" s="2"/>
      <c r="B693" s="2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</row>
    <row r="694" spans="1:34" ht="12.75">
      <c r="A694" s="2"/>
      <c r="B694" s="2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</row>
    <row r="695" spans="1:34" ht="12.75">
      <c r="A695" s="2"/>
      <c r="B695" s="2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</row>
    <row r="696" spans="1:34" ht="12.75">
      <c r="A696" s="2"/>
      <c r="B696" s="2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</row>
    <row r="697" spans="1:34" ht="12.75">
      <c r="A697" s="2"/>
      <c r="B697" s="2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</row>
    <row r="698" spans="1:34" ht="12.75">
      <c r="A698" s="2"/>
      <c r="B698" s="2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</row>
    <row r="699" spans="1:34" ht="12.75">
      <c r="A699" s="2"/>
      <c r="B699" s="2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</row>
    <row r="700" spans="1:34" ht="12.75">
      <c r="A700" s="2"/>
      <c r="B700" s="2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</row>
    <row r="701" spans="1:34" ht="12.75">
      <c r="A701" s="2"/>
      <c r="B701" s="2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</row>
    <row r="702" spans="1:34" ht="12.75">
      <c r="A702" s="2"/>
      <c r="B702" s="2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</row>
    <row r="703" spans="1:34" ht="12.75">
      <c r="A703" s="2"/>
      <c r="B703" s="2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</row>
    <row r="704" spans="1:34" ht="12.75">
      <c r="A704" s="2"/>
      <c r="B704" s="2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</row>
    <row r="705" spans="1:34" ht="12.75">
      <c r="A705" s="2"/>
      <c r="B705" s="2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</row>
    <row r="706" spans="1:34" ht="12.75">
      <c r="A706" s="2"/>
      <c r="B706" s="2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</row>
    <row r="707" spans="1:34" ht="12.75">
      <c r="A707" s="2"/>
      <c r="B707" s="2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</row>
    <row r="708" spans="1:34" ht="12.75">
      <c r="A708" s="2"/>
      <c r="B708" s="2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</row>
    <row r="709" spans="1:34" ht="12.75">
      <c r="A709" s="2"/>
      <c r="B709" s="2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</row>
    <row r="710" spans="1:34" ht="12.75">
      <c r="A710" s="2"/>
      <c r="B710" s="2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</row>
    <row r="711" spans="1:34" ht="12.75">
      <c r="A711" s="2"/>
      <c r="B711" s="2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</row>
    <row r="712" spans="1:34" ht="12.75">
      <c r="A712" s="2"/>
      <c r="B712" s="2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</row>
    <row r="713" spans="1:34" ht="12.75">
      <c r="A713" s="2"/>
      <c r="B713" s="2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</row>
    <row r="714" spans="1:34" ht="12.75">
      <c r="A714" s="2"/>
      <c r="B714" s="2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</row>
    <row r="715" spans="1:34" ht="12.75">
      <c r="A715" s="2"/>
      <c r="B715" s="2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</row>
    <row r="716" spans="1:34" ht="12.75">
      <c r="A716" s="2"/>
      <c r="B716" s="2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</row>
    <row r="717" spans="1:34" ht="12.75">
      <c r="A717" s="2"/>
      <c r="B717" s="2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</row>
    <row r="718" spans="1:34" ht="12.75">
      <c r="A718" s="2"/>
      <c r="B718" s="2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</row>
    <row r="719" spans="1:34" ht="12.75">
      <c r="A719" s="2"/>
      <c r="B719" s="2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</row>
    <row r="720" spans="1:34" ht="12.75">
      <c r="A720" s="2"/>
      <c r="B720" s="2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</row>
    <row r="721" spans="1:34" ht="12.75">
      <c r="A721" s="2"/>
      <c r="B721" s="2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</row>
    <row r="722" spans="1:34" ht="12.75">
      <c r="A722" s="2"/>
      <c r="B722" s="2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</row>
    <row r="723" spans="1:34" ht="12.75">
      <c r="A723" s="2"/>
      <c r="B723" s="2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</row>
    <row r="724" spans="1:34" ht="12.75">
      <c r="A724" s="2"/>
      <c r="B724" s="2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</row>
    <row r="725" spans="1:34" ht="12.75">
      <c r="A725" s="2"/>
      <c r="B725" s="2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</row>
    <row r="726" spans="1:34" ht="12.75">
      <c r="A726" s="2"/>
      <c r="B726" s="2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</row>
    <row r="727" spans="1:34" ht="12.75">
      <c r="A727" s="2"/>
      <c r="B727" s="2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</row>
    <row r="728" spans="1:34" ht="12.75">
      <c r="A728" s="2"/>
      <c r="B728" s="2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</row>
    <row r="729" spans="1:34" ht="12.75">
      <c r="A729" s="2"/>
      <c r="B729" s="2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</row>
    <row r="730" spans="1:34" ht="12.75">
      <c r="A730" s="2"/>
      <c r="B730" s="2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</row>
    <row r="731" spans="1:34" ht="12.75">
      <c r="A731" s="2"/>
      <c r="B731" s="2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</row>
    <row r="732" spans="1:34" ht="12.75">
      <c r="A732" s="2"/>
      <c r="B732" s="2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</row>
    <row r="733" spans="1:34" ht="12.75">
      <c r="A733" s="2"/>
      <c r="B733" s="2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</row>
    <row r="734" spans="1:34" ht="12.75">
      <c r="A734" s="2"/>
      <c r="B734" s="2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</row>
    <row r="735" spans="1:34" ht="12.75">
      <c r="A735" s="2"/>
      <c r="B735" s="2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</row>
    <row r="736" spans="1:34" ht="12.75">
      <c r="A736" s="2"/>
      <c r="B736" s="2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</row>
    <row r="737" spans="1:34" ht="12.75">
      <c r="A737" s="2"/>
      <c r="B737" s="2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</row>
    <row r="738" spans="1:34" ht="12.75">
      <c r="A738" s="2"/>
      <c r="B738" s="2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</row>
    <row r="739" spans="1:34" ht="12.75">
      <c r="A739" s="2"/>
      <c r="B739" s="2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</row>
    <row r="740" spans="1:34" ht="12.75">
      <c r="A740" s="2"/>
      <c r="B740" s="2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</row>
    <row r="741" spans="1:34" ht="12.75">
      <c r="A741" s="2"/>
      <c r="B741" s="2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</row>
    <row r="742" spans="1:34" ht="12.75">
      <c r="A742" s="2"/>
      <c r="B742" s="2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</row>
    <row r="743" spans="1:34" ht="12.75">
      <c r="A743" s="2"/>
      <c r="B743" s="2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</row>
    <row r="744" spans="1:34" ht="12.75">
      <c r="A744" s="2"/>
      <c r="B744" s="2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</row>
    <row r="745" spans="1:34" ht="12.75">
      <c r="A745" s="2"/>
      <c r="B745" s="2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</row>
    <row r="746" spans="1:34" ht="12.75">
      <c r="A746" s="2"/>
      <c r="B746" s="2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</row>
    <row r="747" spans="1:34" ht="12.75">
      <c r="A747" s="2"/>
      <c r="B747" s="2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</row>
    <row r="748" spans="1:34" ht="12.75">
      <c r="A748" s="2"/>
      <c r="B748" s="2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</row>
    <row r="749" spans="1:34" ht="12.75">
      <c r="A749" s="2"/>
      <c r="B749" s="2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</row>
    <row r="750" spans="1:34" ht="12.75">
      <c r="A750" s="2"/>
      <c r="B750" s="2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</row>
    <row r="751" spans="1:34" ht="12.75">
      <c r="A751" s="2"/>
      <c r="B751" s="2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</row>
    <row r="752" spans="1:34" ht="12.75">
      <c r="A752" s="2"/>
      <c r="B752" s="2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</row>
    <row r="753" spans="1:34" ht="12.75">
      <c r="A753" s="2"/>
      <c r="B753" s="2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</row>
    <row r="754" spans="1:34" ht="12.75">
      <c r="A754" s="2"/>
      <c r="B754" s="2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</row>
    <row r="755" spans="1:34" ht="12.75">
      <c r="A755" s="2"/>
      <c r="B755" s="2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</row>
    <row r="756" spans="1:34" ht="12.75">
      <c r="A756" s="2"/>
      <c r="B756" s="2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</row>
    <row r="757" spans="1:34" ht="12.75">
      <c r="A757" s="2"/>
      <c r="B757" s="2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</row>
    <row r="758" spans="1:34" ht="12.75">
      <c r="A758" s="2"/>
      <c r="B758" s="2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</row>
    <row r="759" spans="1:34" ht="12.75">
      <c r="A759" s="2"/>
      <c r="B759" s="2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</row>
    <row r="760" spans="1:34" ht="12.75">
      <c r="A760" s="2"/>
      <c r="B760" s="2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</row>
    <row r="761" spans="1:34" ht="12.75">
      <c r="A761" s="2"/>
      <c r="B761" s="2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</row>
    <row r="762" spans="1:34" ht="12.75">
      <c r="A762" s="2"/>
      <c r="B762" s="2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</row>
    <row r="763" spans="1:34" ht="12.75">
      <c r="A763" s="2"/>
      <c r="B763" s="2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</row>
    <row r="764" spans="1:34" ht="12.75">
      <c r="A764" s="2"/>
      <c r="B764" s="2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</row>
    <row r="765" spans="1:34" ht="12.75">
      <c r="A765" s="2"/>
      <c r="B765" s="2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</row>
    <row r="766" spans="1:34" ht="12.75">
      <c r="A766" s="2"/>
      <c r="B766" s="2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</row>
    <row r="767" spans="1:34" ht="12.75">
      <c r="A767" s="2"/>
      <c r="B767" s="2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</row>
    <row r="768" spans="1:34" ht="12.75">
      <c r="A768" s="2"/>
      <c r="B768" s="2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</row>
    <row r="769" spans="1:34" ht="12.75">
      <c r="A769" s="2"/>
      <c r="B769" s="2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</row>
    <row r="770" spans="1:34" ht="12.75">
      <c r="A770" s="2"/>
      <c r="B770" s="2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</row>
    <row r="771" spans="1:34" ht="12.75">
      <c r="A771" s="2"/>
      <c r="B771" s="2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</row>
    <row r="772" spans="1:34" ht="12.75">
      <c r="A772" s="2"/>
      <c r="B772" s="2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</row>
    <row r="773" spans="1:34" ht="12.75">
      <c r="A773" s="2"/>
      <c r="B773" s="2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</row>
    <row r="774" spans="1:34" ht="12.75">
      <c r="A774" s="2"/>
      <c r="B774" s="2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</row>
    <row r="775" spans="1:34" ht="12.75">
      <c r="A775" s="2"/>
      <c r="B775" s="2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</row>
    <row r="776" spans="1:34" ht="12.75">
      <c r="A776" s="2"/>
      <c r="B776" s="2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</row>
    <row r="777" spans="1:34" ht="12.75">
      <c r="A777" s="2"/>
      <c r="B777" s="2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</row>
    <row r="778" spans="1:34" ht="12.75">
      <c r="A778" s="2"/>
      <c r="B778" s="2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</row>
    <row r="779" spans="1:34" ht="12.75">
      <c r="A779" s="2"/>
      <c r="B779" s="2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</row>
    <row r="780" spans="1:34" ht="12.75">
      <c r="A780" s="2"/>
      <c r="B780" s="2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</row>
    <row r="781" spans="1:34" ht="12.75">
      <c r="A781" s="2"/>
      <c r="B781" s="2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</row>
    <row r="782" spans="1:34" ht="12.75">
      <c r="A782" s="2"/>
      <c r="B782" s="2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</row>
    <row r="783" spans="1:34" ht="12.75">
      <c r="A783" s="2"/>
      <c r="B783" s="2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</row>
    <row r="784" spans="1:34" ht="12.75">
      <c r="A784" s="2"/>
      <c r="B784" s="2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</row>
    <row r="785" spans="1:34" ht="12.75">
      <c r="A785" s="2"/>
      <c r="B785" s="2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</row>
    <row r="786" spans="1:34" ht="12.75">
      <c r="A786" s="2"/>
      <c r="B786" s="2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</row>
    <row r="787" spans="1:34" ht="12.75">
      <c r="A787" s="2"/>
      <c r="B787" s="2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</row>
    <row r="788" spans="1:34" ht="12.75">
      <c r="A788" s="2"/>
      <c r="B788" s="2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</row>
    <row r="789" spans="1:34" ht="12.75">
      <c r="A789" s="2"/>
      <c r="B789" s="2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</row>
    <row r="790" spans="1:34" ht="12.75">
      <c r="A790" s="2"/>
      <c r="B790" s="2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</row>
    <row r="791" spans="1:34" ht="12.75">
      <c r="A791" s="2"/>
      <c r="B791" s="2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</row>
    <row r="792" spans="1:34" ht="12.75">
      <c r="A792" s="2"/>
      <c r="B792" s="2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</row>
    <row r="793" spans="1:34" ht="12.75">
      <c r="A793" s="2"/>
      <c r="B793" s="2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</row>
    <row r="794" spans="1:34" ht="12.75">
      <c r="A794" s="2"/>
      <c r="B794" s="2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</row>
    <row r="795" spans="1:34" ht="12.75">
      <c r="A795" s="2"/>
      <c r="B795" s="2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</row>
    <row r="796" spans="1:34" ht="12.75">
      <c r="A796" s="2"/>
      <c r="B796" s="2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</row>
    <row r="797" spans="1:34" ht="12.75">
      <c r="A797" s="2"/>
      <c r="B797" s="2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</row>
    <row r="798" spans="1:34" ht="12.75">
      <c r="A798" s="2"/>
      <c r="B798" s="2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</row>
    <row r="799" spans="1:34" ht="12.75">
      <c r="A799" s="2"/>
      <c r="B799" s="2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</row>
    <row r="800" spans="1:34" ht="12.75">
      <c r="A800" s="2"/>
      <c r="B800" s="2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</row>
    <row r="801" spans="1:34" ht="12.75">
      <c r="A801" s="2"/>
      <c r="B801" s="2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</row>
    <row r="802" spans="1:34" ht="12.75">
      <c r="A802" s="2"/>
      <c r="B802" s="2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</row>
    <row r="803" spans="1:34" ht="12.75">
      <c r="A803" s="2"/>
      <c r="B803" s="2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</row>
    <row r="804" spans="1:34" ht="12.75">
      <c r="A804" s="2"/>
      <c r="B804" s="2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</row>
    <row r="805" spans="1:34" ht="12.75">
      <c r="A805" s="2"/>
      <c r="B805" s="2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</row>
    <row r="806" spans="1:34" ht="12.75">
      <c r="A806" s="2"/>
      <c r="B806" s="2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</row>
    <row r="807" spans="1:34" ht="12.75">
      <c r="A807" s="2"/>
      <c r="B807" s="2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</row>
    <row r="808" spans="1:34" ht="12.75">
      <c r="A808" s="2"/>
      <c r="B808" s="2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</row>
    <row r="809" spans="1:34" ht="12.75">
      <c r="A809" s="2"/>
      <c r="B809" s="2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</row>
    <row r="810" spans="1:34" ht="12.75">
      <c r="A810" s="2"/>
      <c r="B810" s="2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</row>
    <row r="811" spans="1:34" ht="12.75">
      <c r="A811" s="2"/>
      <c r="B811" s="2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</row>
    <row r="812" spans="1:34" ht="12.75">
      <c r="A812" s="2"/>
      <c r="B812" s="2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</row>
    <row r="813" spans="1:34" ht="12.75">
      <c r="A813" s="2"/>
      <c r="B813" s="2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</row>
    <row r="814" spans="1:34" ht="12.75">
      <c r="A814" s="2"/>
      <c r="B814" s="2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</row>
    <row r="815" spans="1:34" ht="12.75">
      <c r="A815" s="2"/>
      <c r="B815" s="2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</row>
    <row r="816" spans="1:34" ht="12.75">
      <c r="A816" s="2"/>
      <c r="B816" s="2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</row>
    <row r="817" spans="1:34" ht="12.75">
      <c r="A817" s="2"/>
      <c r="B817" s="2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</row>
    <row r="818" spans="1:34" ht="12.75">
      <c r="A818" s="2"/>
      <c r="B818" s="2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</row>
    <row r="819" spans="1:34" ht="12.75">
      <c r="A819" s="2"/>
      <c r="B819" s="2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</row>
    <row r="820" spans="1:34" ht="12.75">
      <c r="A820" s="2"/>
      <c r="B820" s="2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</row>
    <row r="821" spans="1:34" ht="12.75">
      <c r="A821" s="2"/>
      <c r="B821" s="2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</row>
    <row r="822" spans="1:34" ht="12.75">
      <c r="A822" s="2"/>
      <c r="B822" s="2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</row>
    <row r="823" spans="1:34" ht="12.75">
      <c r="A823" s="2"/>
      <c r="B823" s="2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</row>
    <row r="824" spans="1:34" ht="12.75">
      <c r="A824" s="2"/>
      <c r="B824" s="2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</row>
    <row r="825" spans="1:34" ht="12.75">
      <c r="A825" s="2"/>
      <c r="B825" s="2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</row>
    <row r="826" spans="1:34" ht="12.75">
      <c r="A826" s="2"/>
      <c r="B826" s="2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</row>
    <row r="827" spans="1:34" ht="12.75">
      <c r="A827" s="2"/>
      <c r="B827" s="2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</row>
    <row r="828" spans="1:34" ht="12.75">
      <c r="A828" s="2"/>
      <c r="B828" s="2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</row>
    <row r="829" spans="1:34" ht="12.75">
      <c r="A829" s="2"/>
      <c r="B829" s="2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</row>
    <row r="830" spans="1:34" ht="12.75">
      <c r="A830" s="2"/>
      <c r="B830" s="2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</row>
    <row r="831" spans="1:34" ht="12.75">
      <c r="A831" s="2"/>
      <c r="B831" s="2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</row>
    <row r="832" spans="1:34" ht="12.75">
      <c r="A832" s="2"/>
      <c r="B832" s="2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</row>
    <row r="833" spans="1:34" ht="12.75">
      <c r="A833" s="2"/>
      <c r="B833" s="2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</row>
    <row r="834" spans="1:34" ht="12.75">
      <c r="A834" s="2"/>
      <c r="B834" s="2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</row>
    <row r="835" spans="1:34" ht="12.75">
      <c r="A835" s="2"/>
      <c r="B835" s="2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</row>
    <row r="836" spans="1:34" ht="12.75">
      <c r="A836" s="2"/>
      <c r="B836" s="2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</row>
    <row r="837" spans="1:34" ht="12.75">
      <c r="A837" s="2"/>
      <c r="B837" s="2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</row>
    <row r="838" spans="1:34" ht="12.75">
      <c r="A838" s="2"/>
      <c r="B838" s="2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</row>
    <row r="839" spans="1:34" ht="12.75">
      <c r="A839" s="2"/>
      <c r="B839" s="2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</row>
    <row r="840" spans="1:34" ht="12.75">
      <c r="A840" s="2"/>
      <c r="B840" s="2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</row>
    <row r="841" spans="1:34" ht="12.75">
      <c r="A841" s="2"/>
      <c r="B841" s="2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</row>
    <row r="842" spans="1:34" ht="12.75">
      <c r="A842" s="2"/>
      <c r="B842" s="2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</row>
    <row r="843" spans="1:34" ht="12.75">
      <c r="A843" s="2"/>
      <c r="B843" s="2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</row>
    <row r="844" spans="1:34" ht="12.75">
      <c r="A844" s="2"/>
      <c r="B844" s="2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</row>
    <row r="845" spans="1:34" ht="12.75">
      <c r="A845" s="2"/>
      <c r="B845" s="2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</row>
    <row r="846" spans="1:34" ht="12.75">
      <c r="A846" s="2"/>
      <c r="B846" s="2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</row>
    <row r="847" spans="1:34" ht="12.75">
      <c r="A847" s="2"/>
      <c r="B847" s="2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</row>
    <row r="848" spans="1:34" ht="12.75">
      <c r="A848" s="2"/>
      <c r="B848" s="2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</row>
    <row r="849" spans="1:34" ht="12.75">
      <c r="A849" s="2"/>
      <c r="B849" s="2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</row>
    <row r="850" spans="1:34" ht="12.75">
      <c r="A850" s="2"/>
      <c r="B850" s="2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</row>
    <row r="851" spans="1:34" ht="12.75">
      <c r="A851" s="2"/>
      <c r="B851" s="2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</row>
    <row r="852" spans="1:34" ht="12.75">
      <c r="A852" s="2"/>
      <c r="B852" s="2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</row>
    <row r="853" spans="1:34" ht="12.75">
      <c r="A853" s="2"/>
      <c r="B853" s="2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</row>
    <row r="854" spans="1:34" ht="12.75">
      <c r="A854" s="2"/>
      <c r="B854" s="2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</row>
    <row r="855" spans="1:34" ht="12.75">
      <c r="A855" s="2"/>
      <c r="B855" s="2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</row>
    <row r="856" spans="1:34" ht="12.75">
      <c r="A856" s="2"/>
      <c r="B856" s="2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</row>
    <row r="857" spans="1:34" ht="12.75">
      <c r="A857" s="2"/>
      <c r="B857" s="2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</row>
    <row r="858" spans="1:34" ht="12.75">
      <c r="A858" s="2"/>
      <c r="B858" s="2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</row>
    <row r="859" spans="1:34" ht="12.75">
      <c r="A859" s="2"/>
      <c r="B859" s="2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</row>
    <row r="860" spans="1:34" ht="12.75">
      <c r="A860" s="2"/>
      <c r="B860" s="2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</row>
    <row r="861" spans="1:34" ht="12.75">
      <c r="A861" s="2"/>
      <c r="B861" s="2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</row>
    <row r="862" spans="1:34" ht="12.75">
      <c r="A862" s="2"/>
      <c r="B862" s="2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</row>
    <row r="863" spans="1:34" ht="12.75">
      <c r="A863" s="2"/>
      <c r="B863" s="2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</row>
    <row r="864" spans="1:34" ht="12.75">
      <c r="A864" s="2"/>
      <c r="B864" s="2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</row>
    <row r="865" spans="1:34" ht="12.75">
      <c r="A865" s="2"/>
      <c r="B865" s="2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</row>
    <row r="866" spans="1:34" ht="12.75">
      <c r="A866" s="2"/>
      <c r="B866" s="2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</row>
    <row r="867" spans="1:34" ht="12.75">
      <c r="A867" s="2"/>
      <c r="B867" s="2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</row>
    <row r="868" spans="1:34" ht="12.75">
      <c r="A868" s="2"/>
      <c r="B868" s="2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</row>
    <row r="869" spans="1:34" ht="12.75">
      <c r="A869" s="2"/>
      <c r="B869" s="2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</row>
    <row r="870" spans="1:34" ht="12.75">
      <c r="A870" s="2"/>
      <c r="B870" s="2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</row>
    <row r="871" spans="1:34" ht="12.75">
      <c r="A871" s="2"/>
      <c r="B871" s="2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</row>
    <row r="872" spans="1:34" ht="12.75">
      <c r="A872" s="2"/>
      <c r="B872" s="2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</row>
    <row r="873" spans="1:34" ht="12.75">
      <c r="A873" s="2"/>
      <c r="B873" s="2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</row>
    <row r="874" spans="1:34" ht="12.75">
      <c r="A874" s="2"/>
      <c r="B874" s="2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</row>
    <row r="875" spans="1:34" ht="12.75">
      <c r="A875" s="2"/>
      <c r="B875" s="2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</row>
    <row r="876" spans="1:34" ht="12.75">
      <c r="A876" s="2"/>
      <c r="B876" s="2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</row>
    <row r="877" spans="1:34" ht="12.75">
      <c r="A877" s="2"/>
      <c r="B877" s="2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</row>
    <row r="878" spans="1:34" ht="12.75">
      <c r="A878" s="2"/>
      <c r="B878" s="2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</row>
    <row r="879" spans="1:34" ht="12.75">
      <c r="A879" s="2"/>
      <c r="B879" s="2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</row>
    <row r="880" spans="1:34" ht="12.75">
      <c r="A880" s="2"/>
      <c r="B880" s="2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</row>
    <row r="881" spans="1:34" ht="12.75">
      <c r="A881" s="2"/>
      <c r="B881" s="2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</row>
    <row r="882" spans="1:34" ht="12.75">
      <c r="A882" s="2"/>
      <c r="B882" s="2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</row>
    <row r="883" spans="1:34" ht="12.75">
      <c r="A883" s="2"/>
      <c r="B883" s="2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</row>
    <row r="884" spans="1:34" ht="12.75">
      <c r="A884" s="2"/>
      <c r="B884" s="2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</row>
    <row r="885" spans="1:34" ht="12.75">
      <c r="A885" s="2"/>
      <c r="B885" s="2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</row>
    <row r="886" spans="1:34" ht="12.75">
      <c r="A886" s="2"/>
      <c r="B886" s="2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</row>
    <row r="887" spans="1:34" ht="12.75">
      <c r="A887" s="2"/>
      <c r="B887" s="2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</row>
    <row r="888" spans="1:34" ht="12.75">
      <c r="A888" s="2"/>
      <c r="B888" s="2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</row>
    <row r="889" spans="1:34" ht="12.75">
      <c r="A889" s="2"/>
      <c r="B889" s="2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</row>
    <row r="890" spans="1:34" ht="12.75">
      <c r="A890" s="2"/>
      <c r="B890" s="2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</row>
    <row r="891" spans="1:34" ht="12.75">
      <c r="A891" s="2"/>
      <c r="B891" s="2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</row>
    <row r="892" spans="1:34" ht="12.75">
      <c r="A892" s="2"/>
      <c r="B892" s="2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</row>
    <row r="893" spans="1:34" ht="12.75">
      <c r="A893" s="2"/>
      <c r="B893" s="2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</row>
    <row r="894" spans="1:34" ht="12.75">
      <c r="A894" s="2"/>
      <c r="B894" s="2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</row>
    <row r="895" spans="1:34" ht="12.75">
      <c r="A895" s="2"/>
      <c r="B895" s="2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</row>
    <row r="896" spans="1:34" ht="12.75">
      <c r="A896" s="2"/>
      <c r="B896" s="2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</row>
    <row r="897" spans="1:34" ht="12.75">
      <c r="A897" s="2"/>
      <c r="B897" s="2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</row>
    <row r="898" spans="1:34" ht="12.75">
      <c r="A898" s="2"/>
      <c r="B898" s="2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</row>
    <row r="899" spans="1:34" ht="12.75">
      <c r="A899" s="2"/>
      <c r="B899" s="2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</row>
    <row r="900" spans="1:34" ht="12.75">
      <c r="A900" s="2"/>
      <c r="B900" s="2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</row>
    <row r="901" spans="1:34" ht="12.75">
      <c r="A901" s="2"/>
      <c r="B901" s="2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</row>
    <row r="902" spans="1:34" ht="12.75">
      <c r="A902" s="2"/>
      <c r="B902" s="2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</row>
    <row r="903" spans="1:34" ht="12.75">
      <c r="A903" s="2"/>
      <c r="B903" s="2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</row>
    <row r="904" spans="1:34" ht="12.75">
      <c r="A904" s="2"/>
      <c r="B904" s="2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</row>
    <row r="905" spans="1:34" ht="12.75">
      <c r="A905" s="2"/>
      <c r="B905" s="2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</row>
    <row r="906" spans="1:34" ht="12.75">
      <c r="A906" s="2"/>
      <c r="B906" s="2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</row>
    <row r="907" spans="1:34" ht="12.75">
      <c r="A907" s="2"/>
      <c r="B907" s="2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</row>
    <row r="908" spans="1:34" ht="12.75">
      <c r="A908" s="2"/>
      <c r="B908" s="2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</row>
    <row r="909" spans="1:34" ht="12.75">
      <c r="A909" s="2"/>
      <c r="B909" s="2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</row>
    <row r="910" spans="1:34" ht="12.75">
      <c r="A910" s="2"/>
      <c r="B910" s="2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</row>
    <row r="911" spans="1:34" ht="12.75">
      <c r="A911" s="2"/>
      <c r="B911" s="2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</row>
    <row r="912" spans="1:34" ht="12.75">
      <c r="A912" s="2"/>
      <c r="B912" s="2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</row>
    <row r="913" spans="1:34" ht="12.75">
      <c r="A913" s="2"/>
      <c r="B913" s="2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</row>
    <row r="914" spans="1:34" ht="12.75">
      <c r="A914" s="2"/>
      <c r="B914" s="2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</row>
    <row r="915" spans="1:34" ht="12.75">
      <c r="A915" s="2"/>
      <c r="B915" s="2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</row>
    <row r="916" spans="1:34" ht="12.75">
      <c r="A916" s="2"/>
      <c r="B916" s="2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</row>
    <row r="917" spans="1:34" ht="12.75">
      <c r="A917" s="2"/>
      <c r="B917" s="2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</row>
    <row r="918" spans="1:34" ht="12.75">
      <c r="A918" s="2"/>
      <c r="B918" s="2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</row>
    <row r="919" spans="1:34" ht="12.75">
      <c r="A919" s="2"/>
      <c r="B919" s="2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</row>
    <row r="920" spans="1:34" ht="12.75">
      <c r="A920" s="2"/>
      <c r="B920" s="2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</row>
    <row r="921" spans="1:34" ht="12.75">
      <c r="A921" s="2"/>
      <c r="B921" s="2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</row>
    <row r="922" spans="1:34" ht="12.75">
      <c r="A922" s="2"/>
      <c r="B922" s="2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</row>
    <row r="923" spans="1:34" ht="12.75">
      <c r="A923" s="2"/>
      <c r="B923" s="2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</row>
    <row r="924" spans="1:34" ht="12.75">
      <c r="A924" s="2"/>
      <c r="B924" s="2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</row>
    <row r="925" spans="1:34" ht="12.75">
      <c r="A925" s="2"/>
      <c r="B925" s="2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</row>
    <row r="926" spans="1:34" ht="12.75">
      <c r="A926" s="2"/>
      <c r="B926" s="2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</row>
    <row r="927" spans="1:34" ht="12.75">
      <c r="A927" s="2"/>
      <c r="B927" s="2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</row>
    <row r="928" spans="1:34" ht="12.75">
      <c r="A928" s="2"/>
      <c r="B928" s="2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</row>
    <row r="929" spans="1:34" ht="12.75">
      <c r="A929" s="2"/>
      <c r="B929" s="2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</row>
    <row r="930" spans="1:34" ht="12.75">
      <c r="A930" s="2"/>
      <c r="B930" s="2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</row>
    <row r="931" spans="1:34" ht="12.75">
      <c r="A931" s="2"/>
      <c r="B931" s="2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</row>
    <row r="932" spans="1:34" ht="12.75">
      <c r="A932" s="2"/>
      <c r="B932" s="2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</row>
    <row r="933" spans="1:34" ht="12.75">
      <c r="A933" s="2"/>
      <c r="B933" s="2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</row>
    <row r="934" spans="1:34" ht="12.75">
      <c r="A934" s="2"/>
      <c r="B934" s="2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</row>
    <row r="935" spans="1:34" ht="12.75">
      <c r="A935" s="2"/>
      <c r="B935" s="2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</row>
    <row r="936" spans="1:34" ht="12.75">
      <c r="A936" s="2"/>
      <c r="B936" s="2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</row>
    <row r="937" spans="1:34" ht="12.75">
      <c r="A937" s="2"/>
      <c r="B937" s="2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</row>
    <row r="938" spans="1:34" ht="12.75">
      <c r="A938" s="2"/>
      <c r="B938" s="2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</row>
    <row r="939" spans="1:34" ht="12.75">
      <c r="A939" s="2"/>
      <c r="B939" s="2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</row>
    <row r="940" spans="1:34" ht="12.75">
      <c r="A940" s="2"/>
      <c r="B940" s="2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</row>
    <row r="941" spans="1:34" ht="12.75">
      <c r="A941" s="2"/>
      <c r="B941" s="2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</row>
    <row r="942" spans="1:34" ht="12.75">
      <c r="A942" s="2"/>
      <c r="B942" s="2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</row>
    <row r="943" spans="1:34" ht="12.75">
      <c r="A943" s="2"/>
      <c r="B943" s="2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</row>
    <row r="944" spans="1:34" ht="12.75">
      <c r="A944" s="2"/>
      <c r="B944" s="2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</row>
    <row r="945" spans="1:34" ht="12.75">
      <c r="A945" s="2"/>
      <c r="B945" s="2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</row>
    <row r="946" spans="1:34" ht="12.75">
      <c r="A946" s="2"/>
      <c r="B946" s="2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</row>
    <row r="947" spans="1:34" ht="12.75">
      <c r="A947" s="2"/>
      <c r="B947" s="2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</row>
    <row r="948" spans="1:34" ht="12.75">
      <c r="A948" s="2"/>
      <c r="B948" s="2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</row>
    <row r="949" spans="1:34" ht="12.75">
      <c r="A949" s="2"/>
      <c r="B949" s="2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</row>
    <row r="950" spans="1:34" ht="12.75">
      <c r="A950" s="2"/>
      <c r="B950" s="2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</row>
    <row r="951" spans="1:34" ht="12.75">
      <c r="A951" s="2"/>
      <c r="B951" s="2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</row>
    <row r="952" spans="1:34" ht="12.75">
      <c r="A952" s="2"/>
      <c r="B952" s="2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</row>
    <row r="953" spans="1:34" ht="12.75">
      <c r="A953" s="2"/>
      <c r="B953" s="2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</row>
    <row r="954" spans="1:34" ht="12.75">
      <c r="A954" s="2"/>
      <c r="B954" s="2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</row>
    <row r="955" spans="1:34" ht="12.75">
      <c r="A955" s="2"/>
      <c r="B955" s="2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</row>
    <row r="956" spans="1:34" ht="12.75">
      <c r="A956" s="2"/>
      <c r="B956" s="2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</row>
    <row r="957" spans="1:34" ht="12.75">
      <c r="A957" s="2"/>
      <c r="B957" s="2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</row>
    <row r="958" spans="1:34" ht="12.75">
      <c r="A958" s="2"/>
      <c r="B958" s="2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</row>
    <row r="959" spans="1:34" ht="12.75">
      <c r="A959" s="2"/>
      <c r="B959" s="2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</row>
    <row r="960" spans="1:34" ht="12.75">
      <c r="A960" s="2"/>
      <c r="B960" s="2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</row>
    <row r="961" spans="1:34" ht="12.75">
      <c r="A961" s="2"/>
      <c r="B961" s="2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</row>
    <row r="962" spans="1:34" ht="12.75">
      <c r="A962" s="2"/>
      <c r="B962" s="2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</row>
    <row r="963" spans="1:34" ht="12.75">
      <c r="A963" s="2"/>
      <c r="B963" s="2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</row>
    <row r="964" spans="1:34" ht="12.75">
      <c r="A964" s="2"/>
      <c r="B964" s="2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</row>
    <row r="965" spans="1:34" ht="12.75">
      <c r="A965" s="2"/>
      <c r="B965" s="2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</row>
    <row r="966" spans="1:34" ht="12.75">
      <c r="A966" s="2"/>
      <c r="B966" s="2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</row>
    <row r="967" spans="1:34" ht="12.75">
      <c r="A967" s="2"/>
      <c r="B967" s="2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</row>
    <row r="968" spans="1:34" ht="12.75">
      <c r="A968" s="2"/>
      <c r="B968" s="2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</row>
    <row r="969" spans="1:34" ht="12.75">
      <c r="A969" s="2"/>
      <c r="B969" s="2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</row>
    <row r="970" spans="1:34" ht="12.75">
      <c r="A970" s="2"/>
      <c r="B970" s="2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</row>
    <row r="971" spans="1:34" ht="12.75">
      <c r="A971" s="2"/>
      <c r="B971" s="2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</row>
    <row r="972" spans="1:34" ht="12.75">
      <c r="A972" s="2"/>
      <c r="B972" s="2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</row>
    <row r="973" spans="1:34" ht="12.75">
      <c r="A973" s="2"/>
      <c r="B973" s="2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</row>
    <row r="974" spans="1:34" ht="12.75">
      <c r="A974" s="2"/>
      <c r="B974" s="2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</row>
    <row r="975" spans="1:34" ht="12.75">
      <c r="A975" s="2"/>
      <c r="B975" s="2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</row>
    <row r="976" spans="1:34" ht="12.75">
      <c r="A976" s="2"/>
      <c r="B976" s="2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</row>
    <row r="977" spans="1:34" ht="12.75">
      <c r="A977" s="2"/>
      <c r="B977" s="2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</row>
    <row r="978" spans="1:34" ht="12.75">
      <c r="A978" s="2"/>
      <c r="B978" s="2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</row>
    <row r="979" spans="1:34" ht="12.75">
      <c r="A979" s="2"/>
      <c r="B979" s="2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</row>
    <row r="980" spans="1:34" ht="12.75">
      <c r="A980" s="2"/>
      <c r="B980" s="2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</row>
    <row r="981" spans="1:34" ht="12.75">
      <c r="A981" s="2"/>
      <c r="B981" s="2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</row>
    <row r="982" spans="1:34" ht="12.75">
      <c r="A982" s="2"/>
      <c r="B982" s="2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</row>
    <row r="983" spans="1:34" ht="12.75">
      <c r="A983" s="2"/>
      <c r="B983" s="2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</row>
    <row r="984" spans="1:34" ht="12.75">
      <c r="A984" s="2"/>
      <c r="B984" s="2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</row>
    <row r="985" spans="1:34" ht="12.75">
      <c r="A985" s="2"/>
      <c r="B985" s="2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</row>
    <row r="986" spans="1:34" ht="12.75">
      <c r="A986" s="2"/>
      <c r="B986" s="2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</row>
    <row r="987" spans="1:34" ht="12.75">
      <c r="A987" s="2"/>
      <c r="B987" s="2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</row>
    <row r="988" spans="1:34" ht="12.75">
      <c r="A988" s="2"/>
      <c r="B988" s="2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</row>
    <row r="989" spans="1:34" ht="12.75">
      <c r="A989" s="2"/>
      <c r="B989" s="2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</row>
    <row r="990" spans="1:34" ht="12.75">
      <c r="A990" s="2"/>
      <c r="B990" s="2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</row>
    <row r="991" spans="1:34" ht="12.75">
      <c r="A991" s="2"/>
      <c r="B991" s="2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</row>
    <row r="992" spans="1:34" ht="12.75">
      <c r="A992" s="2"/>
      <c r="B992" s="2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</row>
    <row r="993" spans="1:34" ht="12.75">
      <c r="A993" s="2"/>
      <c r="B993" s="2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</row>
    <row r="994" spans="1:34" ht="12.75">
      <c r="A994" s="2"/>
      <c r="B994" s="2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</row>
    <row r="995" spans="1:34" ht="12.75">
      <c r="A995" s="2"/>
      <c r="B995" s="2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</row>
    <row r="996" spans="1:34" ht="12.75">
      <c r="A996" s="2"/>
      <c r="B996" s="2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</row>
    <row r="997" spans="1:34" ht="12.75">
      <c r="A997" s="2"/>
      <c r="B997" s="2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</row>
    <row r="998" spans="1:34" ht="12.75">
      <c r="A998" s="2"/>
      <c r="B998" s="2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</row>
    <row r="999" spans="1:34" ht="12.75">
      <c r="A999" s="2"/>
      <c r="B999" s="2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</row>
    <row r="1000" spans="1:34" ht="12.75">
      <c r="A1000" s="2"/>
      <c r="B1000" s="2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</row>
    <row r="1001" spans="1:34" ht="12.75">
      <c r="A1001" s="2"/>
      <c r="B1001" s="2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</row>
  </sheetData>
  <mergeCells count="2">
    <mergeCell ref="A1:A2"/>
    <mergeCell ref="B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D1000"/>
  <sheetViews>
    <sheetView workbookViewId="0">
      <pane xSplit="1" topLeftCell="B1" activePane="topRight" state="frozen"/>
      <selection pane="topRight" activeCell="C2" sqref="C2"/>
    </sheetView>
  </sheetViews>
  <sheetFormatPr defaultColWidth="12.5703125" defaultRowHeight="15.75" customHeight="1"/>
  <sheetData>
    <row r="1" spans="1:56" ht="15.75" customHeight="1">
      <c r="A1" s="27" t="s">
        <v>0</v>
      </c>
      <c r="B1" s="21" t="s">
        <v>16</v>
      </c>
      <c r="C1" s="25"/>
      <c r="D1" s="25"/>
      <c r="E1" s="25"/>
      <c r="F1" s="25"/>
      <c r="G1" s="20"/>
      <c r="H1" s="21" t="s">
        <v>17</v>
      </c>
      <c r="I1" s="25"/>
      <c r="J1" s="25"/>
      <c r="K1" s="25"/>
      <c r="L1" s="25"/>
      <c r="M1" s="20"/>
      <c r="N1" s="21" t="s">
        <v>18</v>
      </c>
      <c r="O1" s="25"/>
      <c r="P1" s="25"/>
      <c r="Q1" s="25"/>
      <c r="R1" s="25"/>
      <c r="S1" s="20"/>
      <c r="T1" s="21" t="s">
        <v>19</v>
      </c>
      <c r="U1" s="25"/>
      <c r="V1" s="25"/>
      <c r="W1" s="25"/>
      <c r="X1" s="25"/>
      <c r="Y1" s="20"/>
      <c r="Z1" s="21" t="s">
        <v>20</v>
      </c>
      <c r="AA1" s="25"/>
      <c r="AB1" s="25"/>
      <c r="AC1" s="25"/>
      <c r="AD1" s="25"/>
      <c r="AE1" s="20"/>
      <c r="AF1" s="23" t="s">
        <v>21</v>
      </c>
      <c r="AG1" s="25"/>
      <c r="AH1" s="25"/>
      <c r="AI1" s="25"/>
      <c r="AJ1" s="25"/>
      <c r="AK1" s="20"/>
      <c r="AL1" s="23" t="s">
        <v>22</v>
      </c>
      <c r="AM1" s="25"/>
      <c r="AN1" s="25"/>
      <c r="AO1" s="25"/>
      <c r="AP1" s="25"/>
      <c r="AQ1" s="20"/>
      <c r="AR1" s="5"/>
      <c r="AS1" s="23" t="s">
        <v>23</v>
      </c>
      <c r="AT1" s="25"/>
      <c r="AU1" s="25"/>
      <c r="AV1" s="25"/>
      <c r="AW1" s="25"/>
      <c r="AX1" s="20"/>
      <c r="AY1" s="23" t="s">
        <v>24</v>
      </c>
      <c r="AZ1" s="25"/>
      <c r="BA1" s="25"/>
      <c r="BB1" s="25"/>
      <c r="BC1" s="25"/>
      <c r="BD1" s="20"/>
    </row>
    <row r="2" spans="1:56" ht="15.75" customHeight="1">
      <c r="A2" s="28"/>
      <c r="B2" s="21" t="s">
        <v>25</v>
      </c>
      <c r="C2" s="20"/>
      <c r="D2" s="21" t="s">
        <v>26</v>
      </c>
      <c r="E2" s="20"/>
      <c r="F2" s="21" t="s">
        <v>27</v>
      </c>
      <c r="G2" s="20"/>
      <c r="H2" s="21" t="s">
        <v>25</v>
      </c>
      <c r="I2" s="20"/>
      <c r="J2" s="21" t="s">
        <v>26</v>
      </c>
      <c r="K2" s="20"/>
      <c r="L2" s="21" t="s">
        <v>27</v>
      </c>
      <c r="M2" s="20"/>
      <c r="N2" s="21" t="s">
        <v>25</v>
      </c>
      <c r="O2" s="20"/>
      <c r="P2" s="21" t="s">
        <v>26</v>
      </c>
      <c r="Q2" s="20"/>
      <c r="R2" s="21" t="s">
        <v>27</v>
      </c>
      <c r="S2" s="20"/>
      <c r="T2" s="21" t="s">
        <v>25</v>
      </c>
      <c r="U2" s="20"/>
      <c r="V2" s="21" t="s">
        <v>26</v>
      </c>
      <c r="W2" s="20"/>
      <c r="X2" s="21" t="s">
        <v>27</v>
      </c>
      <c r="Y2" s="20"/>
      <c r="Z2" s="21" t="s">
        <v>25</v>
      </c>
      <c r="AA2" s="20"/>
      <c r="AB2" s="21" t="s">
        <v>26</v>
      </c>
      <c r="AC2" s="20"/>
      <c r="AD2" s="21" t="s">
        <v>27</v>
      </c>
      <c r="AE2" s="20"/>
      <c r="AF2" s="23" t="s">
        <v>25</v>
      </c>
      <c r="AG2" s="20"/>
      <c r="AH2" s="23" t="s">
        <v>26</v>
      </c>
      <c r="AI2" s="20"/>
      <c r="AJ2" s="23" t="s">
        <v>27</v>
      </c>
      <c r="AK2" s="20"/>
      <c r="AL2" s="23" t="s">
        <v>25</v>
      </c>
      <c r="AM2" s="20"/>
      <c r="AN2" s="23" t="s">
        <v>26</v>
      </c>
      <c r="AO2" s="20"/>
      <c r="AP2" s="23" t="s">
        <v>27</v>
      </c>
      <c r="AQ2" s="20"/>
      <c r="AR2" s="5"/>
      <c r="AS2" s="23" t="s">
        <v>25</v>
      </c>
      <c r="AT2" s="20"/>
      <c r="AU2" s="23" t="s">
        <v>26</v>
      </c>
      <c r="AV2" s="20"/>
      <c r="AW2" s="23" t="s">
        <v>27</v>
      </c>
      <c r="AX2" s="20"/>
      <c r="AY2" s="23" t="s">
        <v>25</v>
      </c>
      <c r="AZ2" s="20"/>
      <c r="BA2" s="23" t="s">
        <v>26</v>
      </c>
      <c r="BB2" s="20"/>
      <c r="BC2" s="23" t="s">
        <v>27</v>
      </c>
      <c r="BD2" s="20"/>
    </row>
    <row r="3" spans="1:56" ht="15.75" customHeight="1">
      <c r="A3" s="19"/>
      <c r="B3" s="6" t="s">
        <v>2</v>
      </c>
      <c r="C3" s="6" t="s">
        <v>14</v>
      </c>
      <c r="D3" s="6" t="s">
        <v>2</v>
      </c>
      <c r="E3" s="6" t="s">
        <v>14</v>
      </c>
      <c r="F3" s="6" t="s">
        <v>2</v>
      </c>
      <c r="G3" s="6" t="s">
        <v>14</v>
      </c>
      <c r="H3" s="6" t="s">
        <v>2</v>
      </c>
      <c r="I3" s="6" t="s">
        <v>14</v>
      </c>
      <c r="J3" s="6" t="s">
        <v>2</v>
      </c>
      <c r="K3" s="6" t="s">
        <v>14</v>
      </c>
      <c r="L3" s="6" t="s">
        <v>2</v>
      </c>
      <c r="M3" s="6" t="s">
        <v>14</v>
      </c>
      <c r="N3" s="6" t="s">
        <v>2</v>
      </c>
      <c r="O3" s="6" t="s">
        <v>14</v>
      </c>
      <c r="P3" s="6" t="s">
        <v>2</v>
      </c>
      <c r="Q3" s="6" t="s">
        <v>14</v>
      </c>
      <c r="R3" s="6" t="s">
        <v>2</v>
      </c>
      <c r="S3" s="6" t="s">
        <v>14</v>
      </c>
      <c r="T3" s="6" t="s">
        <v>2</v>
      </c>
      <c r="U3" s="6" t="s">
        <v>14</v>
      </c>
      <c r="V3" s="6" t="s">
        <v>2</v>
      </c>
      <c r="W3" s="6" t="s">
        <v>14</v>
      </c>
      <c r="X3" s="6" t="s">
        <v>2</v>
      </c>
      <c r="Y3" s="6" t="s">
        <v>14</v>
      </c>
      <c r="Z3" s="6" t="s">
        <v>2</v>
      </c>
      <c r="AA3" s="6" t="s">
        <v>14</v>
      </c>
      <c r="AB3" s="6" t="s">
        <v>2</v>
      </c>
      <c r="AC3" s="6" t="s">
        <v>14</v>
      </c>
      <c r="AD3" s="6" t="s">
        <v>2</v>
      </c>
      <c r="AE3" s="6" t="s">
        <v>14</v>
      </c>
      <c r="AF3" s="5" t="s">
        <v>2</v>
      </c>
      <c r="AG3" s="5" t="s">
        <v>14</v>
      </c>
      <c r="AH3" s="5" t="s">
        <v>2</v>
      </c>
      <c r="AI3" s="5" t="s">
        <v>14</v>
      </c>
      <c r="AJ3" s="5" t="s">
        <v>2</v>
      </c>
      <c r="AK3" s="5" t="s">
        <v>14</v>
      </c>
      <c r="AL3" s="5" t="s">
        <v>2</v>
      </c>
      <c r="AM3" s="5" t="s">
        <v>14</v>
      </c>
      <c r="AN3" s="5" t="s">
        <v>2</v>
      </c>
      <c r="AO3" s="5" t="s">
        <v>14</v>
      </c>
      <c r="AP3" s="5" t="s">
        <v>2</v>
      </c>
      <c r="AQ3" s="5" t="s">
        <v>14</v>
      </c>
      <c r="AR3" s="5" t="s">
        <v>28</v>
      </c>
      <c r="AS3" s="5" t="s">
        <v>2</v>
      </c>
      <c r="AT3" s="5" t="s">
        <v>14</v>
      </c>
      <c r="AU3" s="5" t="s">
        <v>2</v>
      </c>
      <c r="AV3" s="5" t="s">
        <v>14</v>
      </c>
      <c r="AW3" s="5" t="s">
        <v>2</v>
      </c>
      <c r="AX3" s="5" t="s">
        <v>14</v>
      </c>
      <c r="AY3" s="5" t="s">
        <v>2</v>
      </c>
      <c r="AZ3" s="5" t="s">
        <v>14</v>
      </c>
      <c r="BA3" s="5" t="s">
        <v>2</v>
      </c>
      <c r="BB3" s="5" t="s">
        <v>14</v>
      </c>
      <c r="BC3" s="5" t="s">
        <v>2</v>
      </c>
      <c r="BD3" s="5" t="s">
        <v>14</v>
      </c>
    </row>
    <row r="4" spans="1:56" ht="15.75" customHeight="1">
      <c r="A4" s="7" t="s">
        <v>29</v>
      </c>
      <c r="B4" s="6" t="s">
        <v>30</v>
      </c>
      <c r="C4" s="6" t="s">
        <v>31</v>
      </c>
      <c r="D4" s="6" t="s">
        <v>30</v>
      </c>
      <c r="E4" s="6" t="s">
        <v>32</v>
      </c>
      <c r="F4" s="8" t="s">
        <v>30</v>
      </c>
      <c r="G4" s="6" t="s">
        <v>33</v>
      </c>
      <c r="H4" s="6" t="s">
        <v>30</v>
      </c>
      <c r="I4" s="6" t="s">
        <v>34</v>
      </c>
      <c r="J4" s="6" t="s">
        <v>30</v>
      </c>
      <c r="K4" s="6" t="s">
        <v>35</v>
      </c>
      <c r="L4" s="6" t="s">
        <v>30</v>
      </c>
      <c r="M4" s="6" t="s">
        <v>36</v>
      </c>
      <c r="N4" s="6" t="s">
        <v>30</v>
      </c>
      <c r="O4" s="6" t="s">
        <v>37</v>
      </c>
      <c r="P4" s="6" t="s">
        <v>30</v>
      </c>
      <c r="Q4" s="6" t="s">
        <v>38</v>
      </c>
      <c r="R4" s="6" t="s">
        <v>30</v>
      </c>
      <c r="S4" s="6" t="s">
        <v>39</v>
      </c>
      <c r="T4" s="6" t="s">
        <v>30</v>
      </c>
      <c r="U4" s="6" t="s">
        <v>40</v>
      </c>
      <c r="V4" s="6" t="s">
        <v>30</v>
      </c>
      <c r="W4" s="6" t="s">
        <v>41</v>
      </c>
      <c r="X4" s="6" t="s">
        <v>30</v>
      </c>
      <c r="Y4" s="6" t="s">
        <v>42</v>
      </c>
      <c r="Z4" s="6" t="s">
        <v>30</v>
      </c>
      <c r="AA4" s="6" t="s">
        <v>43</v>
      </c>
      <c r="AB4" s="6" t="s">
        <v>30</v>
      </c>
      <c r="AC4" s="6" t="s">
        <v>44</v>
      </c>
      <c r="AD4" s="6" t="s">
        <v>30</v>
      </c>
      <c r="AE4" s="6" t="s">
        <v>45</v>
      </c>
      <c r="AF4" s="6" t="s">
        <v>30</v>
      </c>
      <c r="AG4" s="6" t="s">
        <v>46</v>
      </c>
      <c r="AH4" s="6" t="s">
        <v>30</v>
      </c>
      <c r="AI4" s="6" t="s">
        <v>47</v>
      </c>
      <c r="AJ4" s="6" t="s">
        <v>30</v>
      </c>
      <c r="AK4" s="6" t="s">
        <v>48</v>
      </c>
      <c r="AL4" s="6" t="s">
        <v>30</v>
      </c>
      <c r="AM4" s="6" t="s">
        <v>49</v>
      </c>
      <c r="AN4" s="6" t="s">
        <v>30</v>
      </c>
      <c r="AO4" s="6" t="s">
        <v>50</v>
      </c>
      <c r="AP4" s="6" t="s">
        <v>30</v>
      </c>
      <c r="AQ4" s="6" t="s">
        <v>51</v>
      </c>
      <c r="AR4" s="6"/>
      <c r="AS4" s="6" t="s">
        <v>30</v>
      </c>
      <c r="AT4" s="6" t="s">
        <v>52</v>
      </c>
      <c r="AU4" s="6" t="s">
        <v>30</v>
      </c>
      <c r="AV4" s="6" t="s">
        <v>53</v>
      </c>
      <c r="AW4" s="6" t="s">
        <v>30</v>
      </c>
      <c r="AX4" s="6" t="s">
        <v>54</v>
      </c>
      <c r="AY4" s="6" t="s">
        <v>30</v>
      </c>
      <c r="AZ4" s="6" t="s">
        <v>55</v>
      </c>
      <c r="BA4" s="6" t="s">
        <v>30</v>
      </c>
      <c r="BB4" s="6" t="s">
        <v>56</v>
      </c>
      <c r="BC4" s="6" t="s">
        <v>30</v>
      </c>
      <c r="BD4" s="6" t="s">
        <v>57</v>
      </c>
    </row>
    <row r="5" spans="1:56" ht="15.75" customHeight="1">
      <c r="A5" s="7" t="s">
        <v>58</v>
      </c>
      <c r="B5" s="6" t="s">
        <v>59</v>
      </c>
      <c r="C5" s="6" t="s">
        <v>60</v>
      </c>
      <c r="D5" s="6" t="s">
        <v>59</v>
      </c>
      <c r="E5" s="6" t="s">
        <v>61</v>
      </c>
      <c r="F5" s="8" t="s">
        <v>59</v>
      </c>
      <c r="G5" s="6" t="s">
        <v>62</v>
      </c>
      <c r="H5" s="6" t="s">
        <v>59</v>
      </c>
      <c r="I5" s="6" t="s">
        <v>63</v>
      </c>
      <c r="J5" s="6" t="s">
        <v>59</v>
      </c>
      <c r="K5" s="6" t="s">
        <v>64</v>
      </c>
      <c r="L5" s="6" t="s">
        <v>59</v>
      </c>
      <c r="M5" s="6" t="s">
        <v>65</v>
      </c>
      <c r="N5" s="6" t="s">
        <v>59</v>
      </c>
      <c r="O5" s="6" t="s">
        <v>66</v>
      </c>
      <c r="P5" s="6" t="s">
        <v>59</v>
      </c>
      <c r="Q5" s="6" t="s">
        <v>67</v>
      </c>
      <c r="R5" s="6" t="s">
        <v>59</v>
      </c>
      <c r="S5" s="6" t="s">
        <v>68</v>
      </c>
      <c r="T5" s="6" t="s">
        <v>69</v>
      </c>
      <c r="U5" s="6" t="s">
        <v>70</v>
      </c>
      <c r="V5" s="6" t="s">
        <v>69</v>
      </c>
      <c r="W5" s="6" t="s">
        <v>71</v>
      </c>
      <c r="X5" s="6" t="s">
        <v>69</v>
      </c>
      <c r="Y5" s="6" t="s">
        <v>72</v>
      </c>
      <c r="Z5" s="6" t="s">
        <v>59</v>
      </c>
      <c r="AA5" s="6" t="s">
        <v>73</v>
      </c>
      <c r="AB5" s="6" t="s">
        <v>59</v>
      </c>
      <c r="AC5" s="6" t="s">
        <v>74</v>
      </c>
      <c r="AD5" s="6" t="s">
        <v>69</v>
      </c>
      <c r="AE5" s="6" t="s">
        <v>75</v>
      </c>
      <c r="AF5" s="6" t="s">
        <v>69</v>
      </c>
      <c r="AG5" s="6" t="s">
        <v>76</v>
      </c>
      <c r="AH5" s="6" t="s">
        <v>69</v>
      </c>
      <c r="AI5" s="6" t="s">
        <v>77</v>
      </c>
      <c r="AJ5" s="6" t="s">
        <v>69</v>
      </c>
      <c r="AK5" s="6" t="s">
        <v>78</v>
      </c>
      <c r="AL5" s="6" t="s">
        <v>69</v>
      </c>
      <c r="AM5" s="6" t="s">
        <v>79</v>
      </c>
      <c r="AN5" s="6" t="s">
        <v>69</v>
      </c>
      <c r="AO5" s="6" t="s">
        <v>80</v>
      </c>
      <c r="AP5" s="6" t="s">
        <v>69</v>
      </c>
      <c r="AQ5" s="6" t="s">
        <v>81</v>
      </c>
      <c r="AR5" s="6"/>
      <c r="AS5" s="6" t="s">
        <v>69</v>
      </c>
      <c r="AT5" s="6" t="s">
        <v>82</v>
      </c>
      <c r="AU5" s="6" t="s">
        <v>69</v>
      </c>
      <c r="AV5" s="6" t="s">
        <v>83</v>
      </c>
      <c r="AW5" s="6" t="s">
        <v>69</v>
      </c>
      <c r="AX5" s="6" t="s">
        <v>84</v>
      </c>
      <c r="AY5" s="6" t="s">
        <v>59</v>
      </c>
      <c r="AZ5" s="6" t="s">
        <v>85</v>
      </c>
      <c r="BA5" s="6" t="s">
        <v>59</v>
      </c>
      <c r="BB5" s="6" t="s">
        <v>86</v>
      </c>
      <c r="BC5" s="6" t="s">
        <v>59</v>
      </c>
      <c r="BD5" s="6" t="s">
        <v>87</v>
      </c>
    </row>
    <row r="6" spans="1:56" ht="15.75" customHeight="1">
      <c r="A6" s="7" t="s">
        <v>59</v>
      </c>
      <c r="B6" s="6" t="s">
        <v>59</v>
      </c>
      <c r="C6" s="6" t="s">
        <v>88</v>
      </c>
      <c r="D6" s="6" t="s">
        <v>59</v>
      </c>
      <c r="E6" s="6" t="s">
        <v>89</v>
      </c>
      <c r="F6" s="8" t="s">
        <v>59</v>
      </c>
      <c r="G6" s="6" t="s">
        <v>90</v>
      </c>
      <c r="H6" s="6" t="s">
        <v>59</v>
      </c>
      <c r="I6" s="6" t="s">
        <v>91</v>
      </c>
      <c r="J6" s="6" t="s">
        <v>59</v>
      </c>
      <c r="K6" s="6" t="s">
        <v>92</v>
      </c>
      <c r="L6" s="6" t="s">
        <v>59</v>
      </c>
      <c r="M6" s="6" t="s">
        <v>93</v>
      </c>
      <c r="N6" s="6" t="s">
        <v>59</v>
      </c>
      <c r="O6" s="6" t="s">
        <v>94</v>
      </c>
      <c r="P6" s="6" t="s">
        <v>59</v>
      </c>
      <c r="Q6" s="6" t="s">
        <v>95</v>
      </c>
      <c r="R6" s="6" t="s">
        <v>59</v>
      </c>
      <c r="S6" s="6" t="s">
        <v>96</v>
      </c>
      <c r="T6" s="6" t="s">
        <v>69</v>
      </c>
      <c r="U6" s="6" t="s">
        <v>97</v>
      </c>
      <c r="V6" s="6" t="s">
        <v>69</v>
      </c>
      <c r="W6" s="6" t="s">
        <v>98</v>
      </c>
      <c r="X6" s="6" t="s">
        <v>69</v>
      </c>
      <c r="Y6" s="6" t="s">
        <v>99</v>
      </c>
      <c r="Z6" s="6" t="s">
        <v>59</v>
      </c>
      <c r="AA6" s="6" t="s">
        <v>100</v>
      </c>
      <c r="AB6" s="6" t="s">
        <v>69</v>
      </c>
      <c r="AC6" s="6" t="s">
        <v>101</v>
      </c>
      <c r="AD6" s="6" t="s">
        <v>30</v>
      </c>
      <c r="AE6" s="6" t="s">
        <v>102</v>
      </c>
      <c r="AF6" s="6" t="s">
        <v>69</v>
      </c>
      <c r="AG6" s="6" t="s">
        <v>103</v>
      </c>
      <c r="AH6" s="6" t="s">
        <v>69</v>
      </c>
      <c r="AI6" s="6" t="s">
        <v>104</v>
      </c>
      <c r="AJ6" s="6" t="s">
        <v>69</v>
      </c>
      <c r="AK6" s="6" t="s">
        <v>105</v>
      </c>
      <c r="AL6" s="6" t="s">
        <v>69</v>
      </c>
      <c r="AM6" s="6" t="s">
        <v>106</v>
      </c>
      <c r="AN6" s="6" t="s">
        <v>69</v>
      </c>
      <c r="AO6" s="6" t="s">
        <v>107</v>
      </c>
      <c r="AP6" s="6" t="s">
        <v>69</v>
      </c>
      <c r="AQ6" s="6" t="s">
        <v>106</v>
      </c>
      <c r="AR6" s="6"/>
      <c r="AS6" s="6" t="s">
        <v>69</v>
      </c>
      <c r="AT6" s="6" t="s">
        <v>108</v>
      </c>
      <c r="AU6" s="6" t="s">
        <v>69</v>
      </c>
      <c r="AV6" s="6" t="s">
        <v>109</v>
      </c>
      <c r="AW6" s="6" t="s">
        <v>69</v>
      </c>
      <c r="AX6" s="6" t="s">
        <v>110</v>
      </c>
      <c r="AY6" s="6" t="s">
        <v>59</v>
      </c>
      <c r="AZ6" s="6" t="s">
        <v>111</v>
      </c>
      <c r="BA6" s="6" t="s">
        <v>59</v>
      </c>
      <c r="BB6" s="6" t="s">
        <v>112</v>
      </c>
      <c r="BC6" s="6" t="s">
        <v>59</v>
      </c>
      <c r="BD6" s="6" t="s">
        <v>113</v>
      </c>
    </row>
    <row r="7" spans="1:56" ht="15.75" customHeight="1">
      <c r="A7" s="7" t="s">
        <v>69</v>
      </c>
      <c r="B7" s="6" t="s">
        <v>59</v>
      </c>
      <c r="C7" s="6" t="s">
        <v>114</v>
      </c>
      <c r="D7" s="6" t="s">
        <v>59</v>
      </c>
      <c r="E7" s="6" t="s">
        <v>115</v>
      </c>
      <c r="F7" s="8" t="s">
        <v>59</v>
      </c>
      <c r="G7" s="6" t="s">
        <v>116</v>
      </c>
      <c r="H7" s="6" t="s">
        <v>59</v>
      </c>
      <c r="I7" s="6" t="s">
        <v>117</v>
      </c>
      <c r="J7" s="6" t="s">
        <v>59</v>
      </c>
      <c r="K7" s="6" t="s">
        <v>118</v>
      </c>
      <c r="L7" s="6" t="s">
        <v>59</v>
      </c>
      <c r="M7" s="6" t="s">
        <v>119</v>
      </c>
      <c r="N7" s="6" t="s">
        <v>59</v>
      </c>
      <c r="O7" s="6" t="s">
        <v>120</v>
      </c>
      <c r="P7" s="6" t="s">
        <v>59</v>
      </c>
      <c r="Q7" s="6" t="s">
        <v>121</v>
      </c>
      <c r="R7" s="6" t="s">
        <v>59</v>
      </c>
      <c r="S7" s="6" t="s">
        <v>122</v>
      </c>
      <c r="T7" s="6" t="s">
        <v>69</v>
      </c>
      <c r="U7" s="6" t="s">
        <v>123</v>
      </c>
      <c r="V7" s="6" t="s">
        <v>69</v>
      </c>
      <c r="W7" s="6" t="s">
        <v>124</v>
      </c>
      <c r="X7" s="6" t="s">
        <v>59</v>
      </c>
      <c r="Y7" s="6" t="s">
        <v>125</v>
      </c>
      <c r="Z7" s="6" t="s">
        <v>69</v>
      </c>
      <c r="AA7" s="6" t="s">
        <v>126</v>
      </c>
      <c r="AB7" s="6" t="s">
        <v>58</v>
      </c>
      <c r="AC7" s="6" t="s">
        <v>127</v>
      </c>
      <c r="AD7" s="6" t="s">
        <v>59</v>
      </c>
      <c r="AE7" s="6" t="s">
        <v>128</v>
      </c>
      <c r="AF7" s="6" t="s">
        <v>69</v>
      </c>
      <c r="AG7" s="6" t="s">
        <v>129</v>
      </c>
      <c r="AH7" s="6" t="s">
        <v>69</v>
      </c>
      <c r="AI7" s="6" t="s">
        <v>130</v>
      </c>
      <c r="AJ7" s="6" t="s">
        <v>69</v>
      </c>
      <c r="AK7" s="6" t="s">
        <v>131</v>
      </c>
      <c r="AL7" s="6" t="s">
        <v>59</v>
      </c>
      <c r="AM7" s="6" t="s">
        <v>132</v>
      </c>
      <c r="AN7" s="6" t="s">
        <v>59</v>
      </c>
      <c r="AO7" s="6" t="s">
        <v>133</v>
      </c>
      <c r="AP7" s="6" t="s">
        <v>59</v>
      </c>
      <c r="AQ7" s="6" t="s">
        <v>134</v>
      </c>
      <c r="AR7" s="6"/>
      <c r="AS7" s="6" t="s">
        <v>59</v>
      </c>
      <c r="AT7" s="6" t="s">
        <v>135</v>
      </c>
      <c r="AU7" s="6" t="s">
        <v>59</v>
      </c>
      <c r="AV7" s="6" t="s">
        <v>136</v>
      </c>
      <c r="AW7" s="6" t="s">
        <v>59</v>
      </c>
      <c r="AX7" s="6" t="s">
        <v>137</v>
      </c>
      <c r="AY7" s="6" t="s">
        <v>59</v>
      </c>
      <c r="AZ7" s="6" t="s">
        <v>138</v>
      </c>
      <c r="BA7" s="6" t="s">
        <v>59</v>
      </c>
      <c r="BB7" s="6" t="s">
        <v>139</v>
      </c>
      <c r="BC7" s="6" t="s">
        <v>59</v>
      </c>
      <c r="BD7" s="6" t="s">
        <v>140</v>
      </c>
    </row>
    <row r="8" spans="1:56" ht="15.75" customHeight="1">
      <c r="A8" s="7" t="s">
        <v>30</v>
      </c>
      <c r="B8" s="6" t="s">
        <v>69</v>
      </c>
      <c r="C8" s="6" t="s">
        <v>141</v>
      </c>
      <c r="D8" s="6" t="s">
        <v>69</v>
      </c>
      <c r="E8" s="6" t="s">
        <v>142</v>
      </c>
      <c r="F8" s="8" t="s">
        <v>69</v>
      </c>
      <c r="G8" s="6" t="s">
        <v>143</v>
      </c>
      <c r="H8" s="6" t="s">
        <v>69</v>
      </c>
      <c r="I8" s="6" t="s">
        <v>144</v>
      </c>
      <c r="J8" s="6" t="s">
        <v>69</v>
      </c>
      <c r="K8" s="6" t="s">
        <v>145</v>
      </c>
      <c r="L8" s="6" t="s">
        <v>69</v>
      </c>
      <c r="M8" s="6" t="s">
        <v>146</v>
      </c>
      <c r="N8" s="6" t="s">
        <v>69</v>
      </c>
      <c r="O8" s="6" t="s">
        <v>147</v>
      </c>
      <c r="P8" s="6" t="s">
        <v>69</v>
      </c>
      <c r="Q8" s="6" t="s">
        <v>148</v>
      </c>
      <c r="R8" s="6" t="s">
        <v>69</v>
      </c>
      <c r="S8" s="6" t="s">
        <v>149</v>
      </c>
      <c r="T8" s="6" t="s">
        <v>30</v>
      </c>
      <c r="U8" s="6" t="s">
        <v>150</v>
      </c>
      <c r="V8" s="6" t="s">
        <v>30</v>
      </c>
      <c r="W8" s="6" t="s">
        <v>151</v>
      </c>
      <c r="X8" s="6" t="s">
        <v>30</v>
      </c>
      <c r="Y8" s="6" t="s">
        <v>152</v>
      </c>
      <c r="Z8" s="6" t="s">
        <v>30</v>
      </c>
      <c r="AA8" s="6" t="s">
        <v>153</v>
      </c>
      <c r="AB8" s="6" t="s">
        <v>30</v>
      </c>
      <c r="AC8" s="6" t="s">
        <v>154</v>
      </c>
      <c r="AD8" s="6" t="s">
        <v>30</v>
      </c>
      <c r="AE8" s="6" t="s">
        <v>155</v>
      </c>
      <c r="AF8" s="6" t="s">
        <v>30</v>
      </c>
      <c r="AG8" s="6" t="s">
        <v>156</v>
      </c>
      <c r="AH8" s="6" t="s">
        <v>30</v>
      </c>
      <c r="AI8" s="6" t="s">
        <v>157</v>
      </c>
      <c r="AJ8" s="6" t="s">
        <v>30</v>
      </c>
      <c r="AK8" s="6" t="s">
        <v>158</v>
      </c>
      <c r="AL8" s="6" t="s">
        <v>159</v>
      </c>
      <c r="AM8" s="6" t="s">
        <v>160</v>
      </c>
      <c r="AN8" s="6" t="s">
        <v>159</v>
      </c>
      <c r="AO8" s="6" t="s">
        <v>161</v>
      </c>
      <c r="AP8" s="6" t="s">
        <v>159</v>
      </c>
      <c r="AQ8" s="6" t="s">
        <v>162</v>
      </c>
      <c r="AR8" s="6"/>
      <c r="AS8" s="6" t="s">
        <v>30</v>
      </c>
      <c r="AT8" s="6" t="s">
        <v>163</v>
      </c>
      <c r="AU8" s="6" t="s">
        <v>30</v>
      </c>
      <c r="AV8" s="6" t="s">
        <v>164</v>
      </c>
      <c r="AW8" s="6" t="s">
        <v>30</v>
      </c>
      <c r="AX8" s="6" t="s">
        <v>165</v>
      </c>
      <c r="AY8" s="6" t="s">
        <v>69</v>
      </c>
      <c r="AZ8" s="6" t="s">
        <v>166</v>
      </c>
      <c r="BA8" s="6" t="s">
        <v>69</v>
      </c>
      <c r="BB8" s="6" t="s">
        <v>167</v>
      </c>
      <c r="BC8" s="6" t="s">
        <v>69</v>
      </c>
      <c r="BD8" s="6" t="s">
        <v>168</v>
      </c>
    </row>
    <row r="9" spans="1:56" ht="15.75" customHeight="1">
      <c r="A9" s="7" t="s">
        <v>159</v>
      </c>
      <c r="B9" s="6" t="s">
        <v>69</v>
      </c>
      <c r="C9" s="6" t="s">
        <v>169</v>
      </c>
      <c r="D9" s="6" t="s">
        <v>69</v>
      </c>
      <c r="E9" s="6" t="s">
        <v>170</v>
      </c>
      <c r="F9" s="8" t="s">
        <v>69</v>
      </c>
      <c r="G9" s="6" t="s">
        <v>171</v>
      </c>
      <c r="H9" s="6" t="s">
        <v>69</v>
      </c>
      <c r="I9" s="6" t="s">
        <v>172</v>
      </c>
      <c r="J9" s="6" t="s">
        <v>69</v>
      </c>
      <c r="K9" s="6" t="s">
        <v>173</v>
      </c>
      <c r="L9" s="6" t="s">
        <v>69</v>
      </c>
      <c r="M9" s="6" t="s">
        <v>174</v>
      </c>
      <c r="N9" s="6" t="s">
        <v>69</v>
      </c>
      <c r="O9" s="6" t="s">
        <v>175</v>
      </c>
      <c r="P9" s="6" t="s">
        <v>69</v>
      </c>
      <c r="Q9" s="6" t="s">
        <v>176</v>
      </c>
      <c r="R9" s="6" t="s">
        <v>69</v>
      </c>
      <c r="S9" s="6" t="s">
        <v>177</v>
      </c>
      <c r="T9" s="6" t="s">
        <v>69</v>
      </c>
      <c r="U9" s="6" t="s">
        <v>178</v>
      </c>
      <c r="V9" s="6" t="s">
        <v>69</v>
      </c>
      <c r="W9" s="6" t="s">
        <v>179</v>
      </c>
      <c r="X9" s="6" t="s">
        <v>69</v>
      </c>
      <c r="Y9" s="6" t="s">
        <v>180</v>
      </c>
      <c r="Z9" s="6" t="s">
        <v>159</v>
      </c>
      <c r="AA9" s="6" t="s">
        <v>181</v>
      </c>
      <c r="AB9" s="6" t="s">
        <v>30</v>
      </c>
      <c r="AC9" s="6" t="s">
        <v>182</v>
      </c>
      <c r="AD9" s="6" t="s">
        <v>159</v>
      </c>
      <c r="AE9" s="6" t="s">
        <v>183</v>
      </c>
      <c r="AF9" s="6" t="s">
        <v>69</v>
      </c>
      <c r="AG9" s="6" t="s">
        <v>184</v>
      </c>
      <c r="AH9" s="6" t="s">
        <v>69</v>
      </c>
      <c r="AI9" s="6" t="s">
        <v>185</v>
      </c>
      <c r="AJ9" s="6" t="s">
        <v>69</v>
      </c>
      <c r="AK9" s="6" t="s">
        <v>186</v>
      </c>
      <c r="AL9" s="6" t="s">
        <v>69</v>
      </c>
      <c r="AM9" s="6" t="s">
        <v>187</v>
      </c>
      <c r="AN9" s="6" t="s">
        <v>69</v>
      </c>
      <c r="AO9" s="6" t="s">
        <v>188</v>
      </c>
      <c r="AP9" s="6" t="s">
        <v>69</v>
      </c>
      <c r="AQ9" s="6" t="s">
        <v>189</v>
      </c>
      <c r="AR9" s="6"/>
      <c r="AS9" s="6" t="s">
        <v>30</v>
      </c>
      <c r="AT9" s="6" t="s">
        <v>190</v>
      </c>
      <c r="AU9" s="6" t="s">
        <v>30</v>
      </c>
      <c r="AV9" s="6" t="s">
        <v>191</v>
      </c>
      <c r="AW9" s="6" t="s">
        <v>30</v>
      </c>
      <c r="AX9" s="6" t="s">
        <v>192</v>
      </c>
      <c r="AY9" s="6" t="s">
        <v>69</v>
      </c>
      <c r="AZ9" s="6" t="s">
        <v>193</v>
      </c>
      <c r="BA9" s="6" t="s">
        <v>69</v>
      </c>
      <c r="BB9" s="6" t="s">
        <v>194</v>
      </c>
      <c r="BC9" s="6" t="s">
        <v>69</v>
      </c>
      <c r="BD9" s="6" t="s">
        <v>195</v>
      </c>
    </row>
    <row r="10" spans="1:56" ht="15.75" customHeight="1">
      <c r="A10" s="7" t="s">
        <v>196</v>
      </c>
      <c r="B10" s="6" t="s">
        <v>159</v>
      </c>
      <c r="C10" s="6" t="s">
        <v>197</v>
      </c>
      <c r="D10" s="6" t="s">
        <v>159</v>
      </c>
      <c r="E10" s="6" t="s">
        <v>198</v>
      </c>
      <c r="F10" s="8" t="s">
        <v>159</v>
      </c>
      <c r="G10" s="6" t="s">
        <v>199</v>
      </c>
      <c r="H10" s="6" t="s">
        <v>196</v>
      </c>
      <c r="I10" s="6" t="s">
        <v>200</v>
      </c>
      <c r="J10" s="6" t="s">
        <v>196</v>
      </c>
      <c r="K10" s="6" t="s">
        <v>201</v>
      </c>
      <c r="L10" s="6" t="s">
        <v>159</v>
      </c>
      <c r="M10" s="6" t="s">
        <v>202</v>
      </c>
      <c r="N10" s="6" t="s">
        <v>159</v>
      </c>
      <c r="O10" s="6" t="s">
        <v>203</v>
      </c>
      <c r="P10" s="6" t="s">
        <v>196</v>
      </c>
      <c r="Q10" s="6" t="s">
        <v>204</v>
      </c>
      <c r="R10" s="6" t="s">
        <v>196</v>
      </c>
      <c r="S10" s="6" t="s">
        <v>205</v>
      </c>
      <c r="T10" s="6" t="s">
        <v>159</v>
      </c>
      <c r="U10" s="6" t="s">
        <v>206</v>
      </c>
      <c r="V10" s="6" t="s">
        <v>196</v>
      </c>
      <c r="W10" s="6" t="s">
        <v>207</v>
      </c>
      <c r="X10" s="6" t="s">
        <v>196</v>
      </c>
      <c r="Y10" s="6" t="s">
        <v>208</v>
      </c>
      <c r="Z10" s="6" t="s">
        <v>209</v>
      </c>
      <c r="AA10" s="6" t="s">
        <v>210</v>
      </c>
      <c r="AB10" s="6" t="s">
        <v>196</v>
      </c>
      <c r="AC10" s="6" t="s">
        <v>211</v>
      </c>
      <c r="AD10" s="6" t="s">
        <v>209</v>
      </c>
      <c r="AE10" s="6" t="s">
        <v>212</v>
      </c>
      <c r="AF10" s="6" t="s">
        <v>196</v>
      </c>
      <c r="AG10" s="6" t="s">
        <v>213</v>
      </c>
      <c r="AH10" s="6" t="s">
        <v>196</v>
      </c>
      <c r="AI10" s="6" t="s">
        <v>214</v>
      </c>
      <c r="AJ10" s="6" t="s">
        <v>196</v>
      </c>
      <c r="AK10" s="6" t="s">
        <v>215</v>
      </c>
      <c r="AL10" s="6" t="s">
        <v>209</v>
      </c>
      <c r="AM10" s="6" t="s">
        <v>216</v>
      </c>
      <c r="AN10" s="6" t="s">
        <v>209</v>
      </c>
      <c r="AO10" s="6" t="s">
        <v>217</v>
      </c>
      <c r="AP10" s="6" t="s">
        <v>209</v>
      </c>
      <c r="AQ10" s="6" t="s">
        <v>218</v>
      </c>
      <c r="AR10" s="6"/>
      <c r="AS10" s="6" t="s">
        <v>196</v>
      </c>
      <c r="AT10" s="6" t="s">
        <v>219</v>
      </c>
      <c r="AU10" s="6" t="s">
        <v>196</v>
      </c>
      <c r="AV10" s="6" t="s">
        <v>220</v>
      </c>
      <c r="AW10" s="6" t="s">
        <v>196</v>
      </c>
      <c r="AX10" s="6" t="s">
        <v>221</v>
      </c>
      <c r="AY10" s="6" t="s">
        <v>159</v>
      </c>
      <c r="AZ10" s="6" t="s">
        <v>222</v>
      </c>
      <c r="BA10" s="6" t="s">
        <v>159</v>
      </c>
      <c r="BB10" s="6" t="s">
        <v>223</v>
      </c>
      <c r="BC10" s="6" t="s">
        <v>159</v>
      </c>
      <c r="BD10" s="6" t="s">
        <v>224</v>
      </c>
    </row>
    <row r="11" spans="1:56" ht="15.75" customHeight="1">
      <c r="A11" s="7" t="s">
        <v>209</v>
      </c>
      <c r="B11" s="6" t="s">
        <v>69</v>
      </c>
      <c r="C11" s="6" t="s">
        <v>225</v>
      </c>
      <c r="D11" s="6" t="s">
        <v>69</v>
      </c>
      <c r="E11" s="6" t="s">
        <v>226</v>
      </c>
      <c r="F11" s="8" t="s">
        <v>69</v>
      </c>
      <c r="G11" s="6" t="s">
        <v>227</v>
      </c>
      <c r="H11" s="6" t="s">
        <v>69</v>
      </c>
      <c r="I11" s="6" t="s">
        <v>228</v>
      </c>
      <c r="J11" s="6" t="s">
        <v>69</v>
      </c>
      <c r="K11" s="6" t="s">
        <v>229</v>
      </c>
      <c r="L11" s="6" t="s">
        <v>69</v>
      </c>
      <c r="M11" s="6" t="s">
        <v>230</v>
      </c>
      <c r="N11" s="6" t="s">
        <v>69</v>
      </c>
      <c r="O11" s="6" t="s">
        <v>231</v>
      </c>
      <c r="P11" s="6" t="s">
        <v>30</v>
      </c>
      <c r="Q11" s="6" t="s">
        <v>232</v>
      </c>
      <c r="R11" s="6" t="s">
        <v>30</v>
      </c>
      <c r="S11" s="6" t="s">
        <v>233</v>
      </c>
      <c r="T11" s="6" t="s">
        <v>159</v>
      </c>
      <c r="U11" s="6" t="s">
        <v>234</v>
      </c>
      <c r="V11" s="6" t="s">
        <v>30</v>
      </c>
      <c r="W11" s="6" t="s">
        <v>235</v>
      </c>
      <c r="X11" s="6" t="s">
        <v>159</v>
      </c>
      <c r="Y11" s="6" t="s">
        <v>236</v>
      </c>
      <c r="Z11" s="6" t="s">
        <v>159</v>
      </c>
      <c r="AA11" s="6" t="s">
        <v>237</v>
      </c>
      <c r="AB11" s="6" t="s">
        <v>159</v>
      </c>
      <c r="AC11" s="6" t="s">
        <v>238</v>
      </c>
      <c r="AD11" s="6" t="s">
        <v>30</v>
      </c>
      <c r="AE11" s="6" t="s">
        <v>239</v>
      </c>
      <c r="AF11" s="6" t="s">
        <v>159</v>
      </c>
      <c r="AG11" s="6" t="s">
        <v>240</v>
      </c>
      <c r="AH11" s="6" t="s">
        <v>159</v>
      </c>
      <c r="AI11" s="6" t="s">
        <v>241</v>
      </c>
      <c r="AJ11" s="6" t="s">
        <v>159</v>
      </c>
      <c r="AK11" s="6" t="s">
        <v>242</v>
      </c>
      <c r="AL11" s="6" t="s">
        <v>30</v>
      </c>
      <c r="AM11" s="6" t="s">
        <v>243</v>
      </c>
      <c r="AN11" s="6" t="s">
        <v>30</v>
      </c>
      <c r="AO11" s="6" t="s">
        <v>244</v>
      </c>
      <c r="AP11" s="6" t="s">
        <v>30</v>
      </c>
      <c r="AQ11" s="6" t="s">
        <v>245</v>
      </c>
      <c r="AR11" s="6"/>
      <c r="AS11" s="6" t="s">
        <v>159</v>
      </c>
      <c r="AT11" s="6" t="s">
        <v>246</v>
      </c>
      <c r="AU11" s="6" t="s">
        <v>159</v>
      </c>
      <c r="AV11" s="6" t="s">
        <v>247</v>
      </c>
      <c r="AW11" s="6" t="s">
        <v>159</v>
      </c>
      <c r="AX11" s="6" t="s">
        <v>248</v>
      </c>
      <c r="AY11" s="6" t="s">
        <v>69</v>
      </c>
      <c r="AZ11" s="6" t="s">
        <v>249</v>
      </c>
      <c r="BA11" s="6" t="s">
        <v>69</v>
      </c>
      <c r="BB11" s="6" t="s">
        <v>250</v>
      </c>
      <c r="BC11" s="6" t="s">
        <v>69</v>
      </c>
      <c r="BD11" s="6" t="s">
        <v>251</v>
      </c>
    </row>
    <row r="12" spans="1:56" ht="15.75" customHeight="1">
      <c r="A12" s="7" t="s">
        <v>252</v>
      </c>
      <c r="B12" s="6" t="s">
        <v>30</v>
      </c>
      <c r="C12" s="6" t="s">
        <v>253</v>
      </c>
      <c r="D12" s="6" t="s">
        <v>30</v>
      </c>
      <c r="E12" s="6" t="s">
        <v>254</v>
      </c>
      <c r="F12" s="8" t="s">
        <v>30</v>
      </c>
      <c r="G12" s="6" t="s">
        <v>255</v>
      </c>
      <c r="H12" s="6" t="s">
        <v>30</v>
      </c>
      <c r="I12" s="6" t="s">
        <v>256</v>
      </c>
      <c r="J12" s="6" t="s">
        <v>30</v>
      </c>
      <c r="K12" s="6" t="s">
        <v>257</v>
      </c>
      <c r="L12" s="6" t="s">
        <v>159</v>
      </c>
      <c r="M12" s="6" t="s">
        <v>258</v>
      </c>
      <c r="N12" s="6" t="s">
        <v>30</v>
      </c>
      <c r="O12" s="6" t="s">
        <v>259</v>
      </c>
      <c r="P12" s="6" t="s">
        <v>159</v>
      </c>
      <c r="Q12" s="6" t="s">
        <v>260</v>
      </c>
      <c r="R12" s="6" t="s">
        <v>30</v>
      </c>
      <c r="S12" s="6" t="s">
        <v>261</v>
      </c>
      <c r="T12" s="6" t="s">
        <v>209</v>
      </c>
      <c r="U12" s="6" t="s">
        <v>262</v>
      </c>
      <c r="V12" s="6" t="s">
        <v>196</v>
      </c>
      <c r="W12" s="6" t="s">
        <v>263</v>
      </c>
      <c r="X12" s="6" t="s">
        <v>209</v>
      </c>
      <c r="Y12" s="6" t="s">
        <v>264</v>
      </c>
      <c r="Z12" s="6" t="s">
        <v>252</v>
      </c>
      <c r="AA12" s="6" t="s">
        <v>265</v>
      </c>
      <c r="AB12" s="6" t="s">
        <v>196</v>
      </c>
      <c r="AC12" s="6" t="s">
        <v>266</v>
      </c>
      <c r="AD12" s="6" t="s">
        <v>252</v>
      </c>
      <c r="AE12" s="6" t="s">
        <v>267</v>
      </c>
      <c r="AF12" s="6" t="s">
        <v>209</v>
      </c>
      <c r="AG12" s="6" t="s">
        <v>268</v>
      </c>
      <c r="AH12" s="6" t="s">
        <v>209</v>
      </c>
      <c r="AI12" s="6" t="s">
        <v>269</v>
      </c>
      <c r="AJ12" s="6" t="s">
        <v>209</v>
      </c>
      <c r="AK12" s="6" t="s">
        <v>270</v>
      </c>
      <c r="AL12" s="6" t="s">
        <v>209</v>
      </c>
      <c r="AM12" s="6" t="s">
        <v>271</v>
      </c>
      <c r="AN12" s="6" t="s">
        <v>209</v>
      </c>
      <c r="AO12" s="6" t="s">
        <v>272</v>
      </c>
      <c r="AP12" s="6" t="s">
        <v>209</v>
      </c>
      <c r="AQ12" s="6" t="s">
        <v>273</v>
      </c>
      <c r="AR12" s="6"/>
      <c r="AS12" s="6" t="s">
        <v>196</v>
      </c>
      <c r="AT12" s="6" t="s">
        <v>274</v>
      </c>
      <c r="AU12" s="6" t="s">
        <v>196</v>
      </c>
      <c r="AV12" s="6" t="s">
        <v>275</v>
      </c>
      <c r="AW12" s="6" t="s">
        <v>196</v>
      </c>
      <c r="AX12" s="6" t="s">
        <v>276</v>
      </c>
      <c r="AY12" s="6" t="s">
        <v>30</v>
      </c>
      <c r="AZ12" s="6" t="s">
        <v>277</v>
      </c>
      <c r="BA12" s="6" t="s">
        <v>30</v>
      </c>
      <c r="BB12" s="6" t="s">
        <v>278</v>
      </c>
      <c r="BC12" s="6" t="s">
        <v>30</v>
      </c>
      <c r="BD12" s="6" t="s">
        <v>279</v>
      </c>
    </row>
    <row r="13" spans="1:56" ht="15.75" customHeight="1">
      <c r="A13" s="7" t="s">
        <v>280</v>
      </c>
      <c r="B13" s="6" t="s">
        <v>209</v>
      </c>
      <c r="C13" s="6" t="s">
        <v>281</v>
      </c>
      <c r="D13" s="6" t="s">
        <v>209</v>
      </c>
      <c r="E13" s="6" t="s">
        <v>282</v>
      </c>
      <c r="F13" s="8" t="s">
        <v>209</v>
      </c>
      <c r="G13" s="6" t="s">
        <v>283</v>
      </c>
      <c r="H13" s="6" t="s">
        <v>209</v>
      </c>
      <c r="I13" s="6" t="s">
        <v>284</v>
      </c>
      <c r="J13" s="6" t="s">
        <v>209</v>
      </c>
      <c r="K13" s="6" t="s">
        <v>285</v>
      </c>
      <c r="L13" s="6" t="s">
        <v>209</v>
      </c>
      <c r="M13" s="6" t="s">
        <v>286</v>
      </c>
      <c r="N13" s="6" t="s">
        <v>209</v>
      </c>
      <c r="O13" s="6" t="s">
        <v>287</v>
      </c>
      <c r="P13" s="6" t="s">
        <v>209</v>
      </c>
      <c r="Q13" s="6" t="s">
        <v>288</v>
      </c>
      <c r="R13" s="6" t="s">
        <v>209</v>
      </c>
      <c r="S13" s="6" t="s">
        <v>289</v>
      </c>
      <c r="T13" s="6" t="s">
        <v>252</v>
      </c>
      <c r="U13" s="6" t="s">
        <v>290</v>
      </c>
      <c r="V13" s="6" t="s">
        <v>209</v>
      </c>
      <c r="W13" s="6" t="s">
        <v>291</v>
      </c>
      <c r="X13" s="6" t="s">
        <v>252</v>
      </c>
      <c r="Y13" s="6" t="s">
        <v>292</v>
      </c>
      <c r="Z13" s="6" t="s">
        <v>293</v>
      </c>
      <c r="AA13" s="6" t="s">
        <v>294</v>
      </c>
      <c r="AB13" s="6" t="s">
        <v>293</v>
      </c>
      <c r="AC13" s="6" t="s">
        <v>295</v>
      </c>
      <c r="AD13" s="6" t="s">
        <v>293</v>
      </c>
      <c r="AE13" s="6" t="s">
        <v>296</v>
      </c>
      <c r="AF13" s="6" t="s">
        <v>252</v>
      </c>
      <c r="AG13" s="6" t="s">
        <v>297</v>
      </c>
      <c r="AH13" s="6" t="s">
        <v>252</v>
      </c>
      <c r="AI13" s="6" t="s">
        <v>298</v>
      </c>
      <c r="AJ13" s="6" t="s">
        <v>252</v>
      </c>
      <c r="AK13" s="6" t="s">
        <v>299</v>
      </c>
      <c r="AL13" s="6" t="s">
        <v>252</v>
      </c>
      <c r="AM13" s="6" t="s">
        <v>300</v>
      </c>
      <c r="AN13" s="6" t="s">
        <v>252</v>
      </c>
      <c r="AO13" s="6" t="s">
        <v>301</v>
      </c>
      <c r="AP13" s="6" t="s">
        <v>252</v>
      </c>
      <c r="AQ13" s="6" t="s">
        <v>302</v>
      </c>
      <c r="AR13" s="6"/>
      <c r="AS13" s="6" t="s">
        <v>209</v>
      </c>
      <c r="AT13" s="6" t="s">
        <v>303</v>
      </c>
      <c r="AU13" s="6" t="s">
        <v>209</v>
      </c>
      <c r="AV13" s="6" t="s">
        <v>304</v>
      </c>
      <c r="AW13" s="6" t="s">
        <v>209</v>
      </c>
      <c r="AX13" s="6" t="s">
        <v>305</v>
      </c>
      <c r="AY13" s="6" t="s">
        <v>209</v>
      </c>
      <c r="AZ13" s="6" t="s">
        <v>306</v>
      </c>
      <c r="BA13" s="6" t="s">
        <v>209</v>
      </c>
      <c r="BB13" s="6" t="s">
        <v>307</v>
      </c>
      <c r="BC13" s="6" t="s">
        <v>209</v>
      </c>
      <c r="BD13" s="6" t="s">
        <v>308</v>
      </c>
    </row>
    <row r="14" spans="1:56" ht="15.75" customHeight="1">
      <c r="A14" s="7" t="s">
        <v>309</v>
      </c>
      <c r="B14" s="6" t="s">
        <v>252</v>
      </c>
      <c r="C14" s="6" t="s">
        <v>310</v>
      </c>
      <c r="D14" s="6" t="s">
        <v>252</v>
      </c>
      <c r="E14" s="6" t="s">
        <v>311</v>
      </c>
      <c r="F14" s="8" t="s">
        <v>252</v>
      </c>
      <c r="G14" s="6" t="s">
        <v>312</v>
      </c>
      <c r="H14" s="6" t="s">
        <v>252</v>
      </c>
      <c r="I14" s="6" t="s">
        <v>313</v>
      </c>
      <c r="J14" s="6" t="s">
        <v>252</v>
      </c>
      <c r="K14" s="6" t="s">
        <v>314</v>
      </c>
      <c r="L14" s="6" t="s">
        <v>252</v>
      </c>
      <c r="M14" s="6" t="s">
        <v>315</v>
      </c>
      <c r="N14" s="6" t="s">
        <v>252</v>
      </c>
      <c r="O14" s="6" t="s">
        <v>316</v>
      </c>
      <c r="P14" s="6" t="s">
        <v>252</v>
      </c>
      <c r="Q14" s="6" t="s">
        <v>317</v>
      </c>
      <c r="R14" s="6" t="s">
        <v>252</v>
      </c>
      <c r="S14" s="6" t="s">
        <v>318</v>
      </c>
      <c r="T14" s="6" t="s">
        <v>280</v>
      </c>
      <c r="U14" s="6" t="s">
        <v>319</v>
      </c>
      <c r="V14" s="6" t="s">
        <v>280</v>
      </c>
      <c r="W14" s="6" t="s">
        <v>320</v>
      </c>
      <c r="X14" s="6" t="s">
        <v>309</v>
      </c>
      <c r="Y14" s="6" t="s">
        <v>321</v>
      </c>
      <c r="Z14" s="6" t="s">
        <v>322</v>
      </c>
      <c r="AA14" s="6" t="s">
        <v>323</v>
      </c>
      <c r="AB14" s="6" t="s">
        <v>322</v>
      </c>
      <c r="AC14" s="6" t="s">
        <v>324</v>
      </c>
      <c r="AD14" s="6" t="s">
        <v>322</v>
      </c>
      <c r="AE14" s="6" t="s">
        <v>325</v>
      </c>
      <c r="AF14" s="6" t="s">
        <v>309</v>
      </c>
      <c r="AG14" s="6" t="s">
        <v>326</v>
      </c>
      <c r="AH14" s="6" t="s">
        <v>309</v>
      </c>
      <c r="AI14" s="6" t="s">
        <v>327</v>
      </c>
      <c r="AJ14" s="9">
        <v>11</v>
      </c>
      <c r="AK14" s="6" t="s">
        <v>328</v>
      </c>
      <c r="AL14" s="6" t="s">
        <v>309</v>
      </c>
      <c r="AM14" s="6" t="s">
        <v>329</v>
      </c>
      <c r="AN14" s="6" t="s">
        <v>309</v>
      </c>
      <c r="AO14" s="6" t="s">
        <v>330</v>
      </c>
      <c r="AP14" s="6" t="s">
        <v>309</v>
      </c>
      <c r="AQ14" s="6" t="s">
        <v>331</v>
      </c>
      <c r="AR14" s="6"/>
      <c r="AS14" s="6" t="s">
        <v>309</v>
      </c>
      <c r="AT14" s="6" t="s">
        <v>332</v>
      </c>
      <c r="AU14" s="6" t="s">
        <v>309</v>
      </c>
      <c r="AV14" s="6" t="s">
        <v>333</v>
      </c>
      <c r="AW14" s="6" t="s">
        <v>309</v>
      </c>
      <c r="AX14" s="6" t="s">
        <v>334</v>
      </c>
      <c r="AY14" s="6" t="s">
        <v>280</v>
      </c>
      <c r="AZ14" s="6" t="s">
        <v>335</v>
      </c>
      <c r="BA14" s="6" t="s">
        <v>280</v>
      </c>
      <c r="BB14" s="6" t="s">
        <v>336</v>
      </c>
      <c r="BC14" s="6" t="s">
        <v>280</v>
      </c>
      <c r="BD14" s="6" t="s">
        <v>337</v>
      </c>
    </row>
    <row r="15" spans="1:56" ht="15.75" customHeight="1">
      <c r="A15" s="7" t="s">
        <v>293</v>
      </c>
      <c r="B15" s="6" t="s">
        <v>209</v>
      </c>
      <c r="C15" s="6" t="s">
        <v>338</v>
      </c>
      <c r="D15" s="6" t="s">
        <v>209</v>
      </c>
      <c r="E15" s="6" t="s">
        <v>339</v>
      </c>
      <c r="F15" s="8" t="s">
        <v>209</v>
      </c>
      <c r="G15" s="6" t="s">
        <v>340</v>
      </c>
      <c r="H15" s="6" t="s">
        <v>209</v>
      </c>
      <c r="I15" s="6" t="s">
        <v>341</v>
      </c>
      <c r="J15" s="6" t="s">
        <v>209</v>
      </c>
      <c r="K15" s="6" t="s">
        <v>342</v>
      </c>
      <c r="L15" s="6" t="s">
        <v>209</v>
      </c>
      <c r="M15" s="6" t="s">
        <v>343</v>
      </c>
      <c r="N15" s="6" t="s">
        <v>209</v>
      </c>
      <c r="O15" s="6" t="s">
        <v>344</v>
      </c>
      <c r="P15" s="6" t="s">
        <v>209</v>
      </c>
      <c r="Q15" s="6" t="s">
        <v>345</v>
      </c>
      <c r="R15" s="6" t="s">
        <v>209</v>
      </c>
      <c r="S15" s="6" t="s">
        <v>346</v>
      </c>
      <c r="T15" s="6" t="s">
        <v>252</v>
      </c>
      <c r="U15" s="6" t="s">
        <v>347</v>
      </c>
      <c r="V15" s="6" t="s">
        <v>252</v>
      </c>
      <c r="W15" s="6" t="s">
        <v>348</v>
      </c>
      <c r="X15" s="6" t="s">
        <v>252</v>
      </c>
      <c r="Y15" s="6" t="s">
        <v>349</v>
      </c>
      <c r="Z15" s="6" t="s">
        <v>322</v>
      </c>
      <c r="AA15" s="6" t="s">
        <v>350</v>
      </c>
      <c r="AB15" s="6" t="s">
        <v>322</v>
      </c>
      <c r="AC15" s="6" t="s">
        <v>351</v>
      </c>
      <c r="AD15" s="6" t="s">
        <v>352</v>
      </c>
      <c r="AE15" s="6" t="s">
        <v>353</v>
      </c>
      <c r="AF15" s="6" t="s">
        <v>252</v>
      </c>
      <c r="AG15" s="6" t="s">
        <v>354</v>
      </c>
      <c r="AH15" s="6" t="s">
        <v>252</v>
      </c>
      <c r="AI15" s="6" t="s">
        <v>355</v>
      </c>
      <c r="AJ15" s="6" t="s">
        <v>252</v>
      </c>
      <c r="AK15" s="6" t="s">
        <v>356</v>
      </c>
      <c r="AL15" s="6" t="s">
        <v>252</v>
      </c>
      <c r="AM15" s="6" t="s">
        <v>357</v>
      </c>
      <c r="AN15" s="6" t="s">
        <v>252</v>
      </c>
      <c r="AO15" s="6" t="s">
        <v>358</v>
      </c>
      <c r="AP15" s="6" t="s">
        <v>252</v>
      </c>
      <c r="AQ15" s="6" t="s">
        <v>359</v>
      </c>
      <c r="AR15" s="6"/>
      <c r="AS15" s="6" t="s">
        <v>252</v>
      </c>
      <c r="AT15" s="6" t="s">
        <v>360</v>
      </c>
      <c r="AU15" s="6" t="s">
        <v>252</v>
      </c>
      <c r="AV15" s="6" t="s">
        <v>361</v>
      </c>
      <c r="AW15" s="6" t="s">
        <v>252</v>
      </c>
      <c r="AX15" s="6" t="s">
        <v>362</v>
      </c>
      <c r="AY15" s="6" t="s">
        <v>209</v>
      </c>
      <c r="AZ15" s="6" t="s">
        <v>363</v>
      </c>
      <c r="BA15" s="6" t="s">
        <v>209</v>
      </c>
      <c r="BB15" s="6" t="s">
        <v>364</v>
      </c>
      <c r="BC15" s="6" t="s">
        <v>209</v>
      </c>
      <c r="BD15" s="6" t="s">
        <v>365</v>
      </c>
    </row>
    <row r="16" spans="1:56" ht="15.75" customHeight="1">
      <c r="A16" s="7" t="s">
        <v>322</v>
      </c>
      <c r="B16" s="6" t="s">
        <v>280</v>
      </c>
      <c r="C16" s="6" t="s">
        <v>366</v>
      </c>
      <c r="D16" s="6" t="s">
        <v>280</v>
      </c>
      <c r="E16" s="6" t="s">
        <v>367</v>
      </c>
      <c r="F16" s="8" t="s">
        <v>280</v>
      </c>
      <c r="G16" s="6" t="s">
        <v>368</v>
      </c>
      <c r="H16" s="6" t="s">
        <v>280</v>
      </c>
      <c r="I16" s="6" t="s">
        <v>369</v>
      </c>
      <c r="J16" s="6" t="s">
        <v>280</v>
      </c>
      <c r="K16" s="6" t="s">
        <v>370</v>
      </c>
      <c r="L16" s="6" t="s">
        <v>280</v>
      </c>
      <c r="M16" s="6" t="s">
        <v>371</v>
      </c>
      <c r="N16" s="6" t="s">
        <v>280</v>
      </c>
      <c r="O16" s="6" t="s">
        <v>372</v>
      </c>
      <c r="P16" s="6" t="s">
        <v>280</v>
      </c>
      <c r="Q16" s="6" t="s">
        <v>373</v>
      </c>
      <c r="R16" s="6" t="s">
        <v>280</v>
      </c>
      <c r="S16" s="6" t="s">
        <v>374</v>
      </c>
      <c r="T16" s="6" t="s">
        <v>309</v>
      </c>
      <c r="U16" s="6" t="s">
        <v>375</v>
      </c>
      <c r="V16" s="6" t="s">
        <v>309</v>
      </c>
      <c r="W16" s="6" t="s">
        <v>376</v>
      </c>
      <c r="X16" s="6" t="s">
        <v>309</v>
      </c>
      <c r="Y16" s="6" t="s">
        <v>377</v>
      </c>
      <c r="Z16" s="6" t="s">
        <v>352</v>
      </c>
      <c r="AA16" s="6" t="s">
        <v>378</v>
      </c>
      <c r="AB16" s="6" t="s">
        <v>379</v>
      </c>
      <c r="AC16" s="6" t="s">
        <v>380</v>
      </c>
      <c r="AD16" s="6" t="s">
        <v>381</v>
      </c>
      <c r="AE16" s="6" t="s">
        <v>382</v>
      </c>
      <c r="AF16" s="6" t="s">
        <v>309</v>
      </c>
      <c r="AG16" s="6" t="s">
        <v>383</v>
      </c>
      <c r="AH16" s="6" t="s">
        <v>309</v>
      </c>
      <c r="AI16" s="6" t="s">
        <v>384</v>
      </c>
      <c r="AJ16" s="6" t="s">
        <v>309</v>
      </c>
      <c r="AK16" s="6" t="s">
        <v>385</v>
      </c>
      <c r="AL16" s="6" t="s">
        <v>280</v>
      </c>
      <c r="AM16" s="6" t="s">
        <v>386</v>
      </c>
      <c r="AN16" s="6" t="s">
        <v>280</v>
      </c>
      <c r="AO16" s="6" t="s">
        <v>387</v>
      </c>
      <c r="AP16" s="6" t="s">
        <v>280</v>
      </c>
      <c r="AQ16" s="6" t="s">
        <v>388</v>
      </c>
      <c r="AR16" s="6"/>
      <c r="AS16" s="6" t="s">
        <v>309</v>
      </c>
      <c r="AT16" s="6" t="s">
        <v>389</v>
      </c>
      <c r="AU16" s="6" t="s">
        <v>309</v>
      </c>
      <c r="AV16" s="6" t="s">
        <v>390</v>
      </c>
      <c r="AW16" s="6" t="s">
        <v>309</v>
      </c>
      <c r="AX16" s="6" t="s">
        <v>391</v>
      </c>
      <c r="AY16" s="6" t="s">
        <v>280</v>
      </c>
      <c r="AZ16" s="6" t="s">
        <v>392</v>
      </c>
      <c r="BA16" s="6" t="s">
        <v>280</v>
      </c>
      <c r="BB16" s="6" t="s">
        <v>393</v>
      </c>
      <c r="BC16" s="6" t="s">
        <v>280</v>
      </c>
      <c r="BD16" s="6" t="s">
        <v>394</v>
      </c>
    </row>
    <row r="17" spans="1:56" ht="15.75" customHeight="1">
      <c r="A17" s="7" t="s">
        <v>352</v>
      </c>
      <c r="B17" s="6" t="s">
        <v>196</v>
      </c>
      <c r="C17" s="6" t="s">
        <v>395</v>
      </c>
      <c r="D17" s="6" t="s">
        <v>196</v>
      </c>
      <c r="E17" s="6" t="s">
        <v>396</v>
      </c>
      <c r="F17" s="8" t="s">
        <v>196</v>
      </c>
      <c r="G17" s="6" t="s">
        <v>397</v>
      </c>
      <c r="H17" s="6" t="s">
        <v>196</v>
      </c>
      <c r="I17" s="6" t="s">
        <v>398</v>
      </c>
      <c r="J17" s="6" t="s">
        <v>196</v>
      </c>
      <c r="K17" s="6" t="s">
        <v>399</v>
      </c>
      <c r="L17" s="6" t="s">
        <v>196</v>
      </c>
      <c r="M17" s="6" t="s">
        <v>400</v>
      </c>
      <c r="N17" s="6" t="s">
        <v>196</v>
      </c>
      <c r="O17" s="6" t="s">
        <v>401</v>
      </c>
      <c r="P17" s="6" t="s">
        <v>196</v>
      </c>
      <c r="Q17" s="6" t="s">
        <v>402</v>
      </c>
      <c r="R17" s="6" t="s">
        <v>196</v>
      </c>
      <c r="S17" s="6" t="s">
        <v>403</v>
      </c>
      <c r="T17" s="6" t="s">
        <v>252</v>
      </c>
      <c r="U17" s="6" t="s">
        <v>404</v>
      </c>
      <c r="V17" s="6" t="s">
        <v>252</v>
      </c>
      <c r="W17" s="6" t="s">
        <v>405</v>
      </c>
      <c r="X17" s="6" t="s">
        <v>252</v>
      </c>
      <c r="Y17" s="6" t="s">
        <v>406</v>
      </c>
      <c r="Z17" s="6" t="s">
        <v>379</v>
      </c>
      <c r="AA17" s="6" t="s">
        <v>407</v>
      </c>
      <c r="AB17" s="6" t="s">
        <v>379</v>
      </c>
      <c r="AC17" s="6" t="s">
        <v>408</v>
      </c>
      <c r="AD17" s="6" t="s">
        <v>379</v>
      </c>
      <c r="AE17" s="6" t="s">
        <v>409</v>
      </c>
      <c r="AF17" s="6" t="s">
        <v>252</v>
      </c>
      <c r="AG17" s="6" t="s">
        <v>410</v>
      </c>
      <c r="AH17" s="6" t="s">
        <v>252</v>
      </c>
      <c r="AI17" s="6" t="s">
        <v>411</v>
      </c>
      <c r="AJ17" s="6" t="s">
        <v>252</v>
      </c>
      <c r="AK17" s="6" t="s">
        <v>412</v>
      </c>
      <c r="AL17" s="6" t="s">
        <v>196</v>
      </c>
      <c r="AM17" s="6" t="s">
        <v>413</v>
      </c>
      <c r="AN17" s="6" t="s">
        <v>196</v>
      </c>
      <c r="AO17" s="6" t="s">
        <v>414</v>
      </c>
      <c r="AP17" s="6" t="s">
        <v>196</v>
      </c>
      <c r="AQ17" s="6" t="s">
        <v>415</v>
      </c>
      <c r="AR17" s="6"/>
      <c r="AS17" s="6" t="s">
        <v>209</v>
      </c>
      <c r="AT17" s="6" t="s">
        <v>416</v>
      </c>
      <c r="AU17" s="6" t="s">
        <v>209</v>
      </c>
      <c r="AV17" s="6" t="s">
        <v>417</v>
      </c>
      <c r="AW17" s="6" t="s">
        <v>209</v>
      </c>
      <c r="AX17" s="6" t="s">
        <v>418</v>
      </c>
      <c r="AY17" s="6" t="s">
        <v>196</v>
      </c>
      <c r="AZ17" s="6" t="s">
        <v>419</v>
      </c>
      <c r="BA17" s="6" t="s">
        <v>196</v>
      </c>
      <c r="BB17" s="6" t="s">
        <v>420</v>
      </c>
      <c r="BC17" s="6" t="s">
        <v>196</v>
      </c>
      <c r="BD17" s="6" t="s">
        <v>421</v>
      </c>
    </row>
    <row r="18" spans="1:56" ht="15.75" customHeight="1">
      <c r="A18" s="7" t="s">
        <v>379</v>
      </c>
      <c r="B18" s="6" t="s">
        <v>209</v>
      </c>
      <c r="C18" s="6" t="s">
        <v>422</v>
      </c>
      <c r="D18" s="6" t="s">
        <v>209</v>
      </c>
      <c r="E18" s="6" t="s">
        <v>423</v>
      </c>
      <c r="F18" s="8" t="s">
        <v>209</v>
      </c>
      <c r="G18" s="6" t="s">
        <v>424</v>
      </c>
      <c r="H18" s="6" t="s">
        <v>209</v>
      </c>
      <c r="I18" s="6" t="s">
        <v>425</v>
      </c>
      <c r="J18" s="6" t="s">
        <v>209</v>
      </c>
      <c r="K18" s="6" t="s">
        <v>426</v>
      </c>
      <c r="L18" s="6" t="s">
        <v>252</v>
      </c>
      <c r="M18" s="6" t="s">
        <v>427</v>
      </c>
      <c r="N18" s="6" t="s">
        <v>209</v>
      </c>
      <c r="O18" s="6" t="s">
        <v>428</v>
      </c>
      <c r="P18" s="6" t="s">
        <v>209</v>
      </c>
      <c r="Q18" s="6" t="s">
        <v>429</v>
      </c>
      <c r="R18" s="6" t="s">
        <v>209</v>
      </c>
      <c r="S18" s="6" t="s">
        <v>430</v>
      </c>
      <c r="T18" s="6" t="s">
        <v>252</v>
      </c>
      <c r="U18" s="6" t="s">
        <v>431</v>
      </c>
      <c r="V18" s="6" t="s">
        <v>252</v>
      </c>
      <c r="W18" s="6" t="s">
        <v>432</v>
      </c>
      <c r="X18" s="6" t="s">
        <v>252</v>
      </c>
      <c r="Y18" s="6" t="s">
        <v>433</v>
      </c>
      <c r="Z18" s="6" t="s">
        <v>352</v>
      </c>
      <c r="AA18" s="6" t="s">
        <v>434</v>
      </c>
      <c r="AB18" s="6" t="s">
        <v>322</v>
      </c>
      <c r="AC18" s="6" t="s">
        <v>435</v>
      </c>
      <c r="AD18" s="6" t="s">
        <v>436</v>
      </c>
      <c r="AE18" s="6" t="s">
        <v>437</v>
      </c>
      <c r="AF18" s="6" t="s">
        <v>280</v>
      </c>
      <c r="AG18" s="6" t="s">
        <v>438</v>
      </c>
      <c r="AH18" s="6" t="s">
        <v>280</v>
      </c>
      <c r="AI18" s="6" t="s">
        <v>439</v>
      </c>
      <c r="AJ18" s="6" t="s">
        <v>280</v>
      </c>
      <c r="AK18" s="6" t="s">
        <v>440</v>
      </c>
      <c r="AL18" s="6" t="s">
        <v>252</v>
      </c>
      <c r="AM18" s="6" t="s">
        <v>441</v>
      </c>
      <c r="AN18" s="6" t="s">
        <v>252</v>
      </c>
      <c r="AO18" s="6" t="s">
        <v>442</v>
      </c>
      <c r="AP18" s="6" t="s">
        <v>252</v>
      </c>
      <c r="AQ18" s="6" t="s">
        <v>443</v>
      </c>
      <c r="AR18" s="6"/>
      <c r="AS18" s="6" t="s">
        <v>280</v>
      </c>
      <c r="AT18" s="6" t="s">
        <v>444</v>
      </c>
      <c r="AU18" s="6" t="s">
        <v>280</v>
      </c>
      <c r="AV18" s="6" t="s">
        <v>445</v>
      </c>
      <c r="AW18" s="6" t="s">
        <v>280</v>
      </c>
      <c r="AX18" s="6" t="s">
        <v>446</v>
      </c>
      <c r="AY18" s="6" t="s">
        <v>209</v>
      </c>
      <c r="AZ18" s="6" t="s">
        <v>447</v>
      </c>
      <c r="BA18" s="6" t="s">
        <v>209</v>
      </c>
      <c r="BB18" s="6" t="s">
        <v>448</v>
      </c>
      <c r="BC18" s="6" t="s">
        <v>209</v>
      </c>
      <c r="BD18" s="6" t="s">
        <v>449</v>
      </c>
    </row>
    <row r="19" spans="1:56" ht="15.75" customHeight="1">
      <c r="A19" s="7" t="s">
        <v>381</v>
      </c>
      <c r="B19" s="6" t="s">
        <v>252</v>
      </c>
      <c r="C19" s="6" t="s">
        <v>450</v>
      </c>
      <c r="D19" s="6" t="s">
        <v>209</v>
      </c>
      <c r="E19" s="6" t="s">
        <v>451</v>
      </c>
      <c r="F19" s="8" t="s">
        <v>209</v>
      </c>
      <c r="G19" s="6" t="s">
        <v>452</v>
      </c>
      <c r="H19" s="6" t="s">
        <v>280</v>
      </c>
      <c r="I19" s="6" t="s">
        <v>453</v>
      </c>
      <c r="J19" s="6" t="s">
        <v>280</v>
      </c>
      <c r="K19" s="6" t="s">
        <v>454</v>
      </c>
      <c r="L19" s="6" t="s">
        <v>252</v>
      </c>
      <c r="M19" s="6" t="s">
        <v>455</v>
      </c>
      <c r="N19" s="6" t="s">
        <v>209</v>
      </c>
      <c r="O19" s="6" t="s">
        <v>456</v>
      </c>
      <c r="P19" s="6" t="s">
        <v>252</v>
      </c>
      <c r="Q19" s="6" t="s">
        <v>457</v>
      </c>
      <c r="R19" s="6" t="s">
        <v>280</v>
      </c>
      <c r="S19" s="6" t="s">
        <v>458</v>
      </c>
      <c r="T19" s="6" t="s">
        <v>309</v>
      </c>
      <c r="U19" s="6" t="s">
        <v>459</v>
      </c>
      <c r="V19" s="6" t="s">
        <v>309</v>
      </c>
      <c r="W19" s="6" t="s">
        <v>460</v>
      </c>
      <c r="X19" s="6" t="s">
        <v>309</v>
      </c>
      <c r="Y19" s="6" t="s">
        <v>461</v>
      </c>
      <c r="Z19" s="6" t="s">
        <v>436</v>
      </c>
      <c r="AA19" s="6" t="s">
        <v>462</v>
      </c>
      <c r="AB19" s="6" t="s">
        <v>381</v>
      </c>
      <c r="AC19" s="6" t="s">
        <v>463</v>
      </c>
      <c r="AD19" s="6" t="s">
        <v>252</v>
      </c>
      <c r="AE19" s="6" t="s">
        <v>464</v>
      </c>
      <c r="AF19" s="6" t="s">
        <v>309</v>
      </c>
      <c r="AG19" s="6" t="s">
        <v>465</v>
      </c>
      <c r="AH19" s="6" t="s">
        <v>309</v>
      </c>
      <c r="AI19" s="6" t="s">
        <v>466</v>
      </c>
      <c r="AJ19" s="6" t="s">
        <v>309</v>
      </c>
      <c r="AK19" s="6" t="s">
        <v>467</v>
      </c>
      <c r="AL19" s="6" t="s">
        <v>196</v>
      </c>
      <c r="AM19" s="6" t="s">
        <v>468</v>
      </c>
      <c r="AN19" s="6" t="s">
        <v>196</v>
      </c>
      <c r="AO19" s="6" t="s">
        <v>469</v>
      </c>
      <c r="AP19" s="6" t="s">
        <v>196</v>
      </c>
      <c r="AQ19" s="6" t="s">
        <v>470</v>
      </c>
      <c r="AR19" s="6"/>
      <c r="AS19" s="6" t="s">
        <v>280</v>
      </c>
      <c r="AT19" s="6" t="s">
        <v>471</v>
      </c>
      <c r="AU19" s="6" t="s">
        <v>280</v>
      </c>
      <c r="AV19" s="6" t="s">
        <v>472</v>
      </c>
      <c r="AW19" s="6" t="s">
        <v>280</v>
      </c>
      <c r="AX19" s="6" t="s">
        <v>473</v>
      </c>
      <c r="AY19" s="6" t="s">
        <v>252</v>
      </c>
      <c r="AZ19" s="6" t="s">
        <v>474</v>
      </c>
      <c r="BA19" s="6" t="s">
        <v>252</v>
      </c>
      <c r="BB19" s="6" t="s">
        <v>475</v>
      </c>
      <c r="BC19" s="6" t="s">
        <v>252</v>
      </c>
      <c r="BD19" s="6" t="s">
        <v>476</v>
      </c>
    </row>
    <row r="20" spans="1:56" ht="15.75" customHeight="1">
      <c r="A20" s="7" t="s">
        <v>436</v>
      </c>
      <c r="B20" s="6" t="s">
        <v>252</v>
      </c>
      <c r="C20" s="6" t="s">
        <v>477</v>
      </c>
      <c r="D20" s="6" t="s">
        <v>252</v>
      </c>
      <c r="E20" s="6" t="s">
        <v>478</v>
      </c>
      <c r="F20" s="8" t="s">
        <v>209</v>
      </c>
      <c r="G20" s="6" t="s">
        <v>479</v>
      </c>
      <c r="H20" s="6" t="s">
        <v>209</v>
      </c>
      <c r="I20" s="6" t="s">
        <v>480</v>
      </c>
      <c r="J20" s="6" t="s">
        <v>209</v>
      </c>
      <c r="K20" s="6" t="s">
        <v>481</v>
      </c>
      <c r="L20" s="6" t="s">
        <v>252</v>
      </c>
      <c r="M20" s="6" t="s">
        <v>482</v>
      </c>
      <c r="N20" s="6" t="s">
        <v>252</v>
      </c>
      <c r="O20" s="6" t="s">
        <v>483</v>
      </c>
      <c r="P20" s="6" t="s">
        <v>280</v>
      </c>
      <c r="Q20" s="6" t="s">
        <v>484</v>
      </c>
      <c r="R20" s="6" t="s">
        <v>252</v>
      </c>
      <c r="S20" s="6" t="s">
        <v>485</v>
      </c>
      <c r="T20" s="6" t="s">
        <v>309</v>
      </c>
      <c r="U20" s="6" t="s">
        <v>486</v>
      </c>
      <c r="V20" s="6" t="s">
        <v>309</v>
      </c>
      <c r="W20" s="6" t="s">
        <v>487</v>
      </c>
      <c r="X20" s="6" t="s">
        <v>309</v>
      </c>
      <c r="Y20" s="6" t="s">
        <v>488</v>
      </c>
      <c r="Z20" s="6" t="s">
        <v>381</v>
      </c>
      <c r="AA20" s="6" t="s">
        <v>489</v>
      </c>
      <c r="AB20" s="6" t="s">
        <v>490</v>
      </c>
      <c r="AC20" s="6" t="s">
        <v>491</v>
      </c>
      <c r="AD20" s="6" t="s">
        <v>492</v>
      </c>
      <c r="AE20" s="6" t="s">
        <v>493</v>
      </c>
      <c r="AF20" s="6" t="s">
        <v>309</v>
      </c>
      <c r="AG20" s="6" t="s">
        <v>494</v>
      </c>
      <c r="AH20" s="6" t="s">
        <v>309</v>
      </c>
      <c r="AI20" s="6" t="s">
        <v>495</v>
      </c>
      <c r="AJ20" s="6" t="s">
        <v>309</v>
      </c>
      <c r="AK20" s="6" t="s">
        <v>496</v>
      </c>
      <c r="AL20" s="6" t="s">
        <v>252</v>
      </c>
      <c r="AM20" s="6" t="s">
        <v>497</v>
      </c>
      <c r="AN20" s="6" t="s">
        <v>252</v>
      </c>
      <c r="AO20" s="6" t="s">
        <v>498</v>
      </c>
      <c r="AP20" s="6" t="s">
        <v>252</v>
      </c>
      <c r="AQ20" s="6" t="s">
        <v>499</v>
      </c>
      <c r="AR20" s="6"/>
      <c r="AS20" s="6" t="s">
        <v>280</v>
      </c>
      <c r="AT20" s="6" t="s">
        <v>500</v>
      </c>
      <c r="AU20" s="6" t="s">
        <v>280</v>
      </c>
      <c r="AV20" s="6" t="s">
        <v>501</v>
      </c>
      <c r="AW20" s="6" t="s">
        <v>280</v>
      </c>
      <c r="AX20" s="6" t="s">
        <v>502</v>
      </c>
      <c r="AY20" s="6" t="s">
        <v>252</v>
      </c>
      <c r="AZ20" s="6" t="s">
        <v>503</v>
      </c>
      <c r="BA20" s="6" t="s">
        <v>252</v>
      </c>
      <c r="BB20" s="6" t="s">
        <v>504</v>
      </c>
      <c r="BC20" s="6" t="s">
        <v>252</v>
      </c>
      <c r="BD20" s="6" t="s">
        <v>505</v>
      </c>
    </row>
    <row r="21" spans="1:56" ht="15.75" customHeight="1">
      <c r="A21" s="7" t="s">
        <v>490</v>
      </c>
      <c r="B21" s="6" t="s">
        <v>280</v>
      </c>
      <c r="C21" s="6" t="s">
        <v>506</v>
      </c>
      <c r="D21" s="6" t="s">
        <v>252</v>
      </c>
      <c r="E21" s="6" t="s">
        <v>507</v>
      </c>
      <c r="F21" s="8" t="s">
        <v>252</v>
      </c>
      <c r="G21" s="6" t="s">
        <v>508</v>
      </c>
      <c r="H21" s="6" t="s">
        <v>252</v>
      </c>
      <c r="I21" s="6" t="s">
        <v>509</v>
      </c>
      <c r="J21" s="6" t="s">
        <v>280</v>
      </c>
      <c r="K21" s="6" t="s">
        <v>510</v>
      </c>
      <c r="L21" s="6" t="s">
        <v>280</v>
      </c>
      <c r="M21" s="6" t="s">
        <v>511</v>
      </c>
      <c r="N21" s="6" t="s">
        <v>280</v>
      </c>
      <c r="O21" s="6" t="s">
        <v>512</v>
      </c>
      <c r="P21" s="6" t="s">
        <v>309</v>
      </c>
      <c r="Q21" s="6" t="s">
        <v>513</v>
      </c>
      <c r="R21" s="6" t="s">
        <v>309</v>
      </c>
      <c r="S21" s="6" t="s">
        <v>514</v>
      </c>
      <c r="T21" s="6" t="s">
        <v>309</v>
      </c>
      <c r="U21" s="6" t="s">
        <v>515</v>
      </c>
      <c r="V21" s="6" t="s">
        <v>309</v>
      </c>
      <c r="W21" s="6" t="s">
        <v>516</v>
      </c>
      <c r="X21" s="6" t="s">
        <v>309</v>
      </c>
      <c r="Y21" s="6" t="s">
        <v>517</v>
      </c>
      <c r="Z21" s="6" t="s">
        <v>379</v>
      </c>
      <c r="AA21" s="6" t="s">
        <v>518</v>
      </c>
      <c r="AB21" s="6" t="s">
        <v>519</v>
      </c>
      <c r="AC21" s="6" t="s">
        <v>520</v>
      </c>
      <c r="AD21" s="6" t="s">
        <v>521</v>
      </c>
      <c r="AE21" s="6" t="s">
        <v>522</v>
      </c>
      <c r="AF21" s="6" t="s">
        <v>309</v>
      </c>
      <c r="AG21" s="6" t="s">
        <v>523</v>
      </c>
      <c r="AH21" s="6" t="s">
        <v>309</v>
      </c>
      <c r="AI21" s="6" t="s">
        <v>524</v>
      </c>
      <c r="AJ21" s="6" t="s">
        <v>309</v>
      </c>
      <c r="AK21" s="6" t="s">
        <v>525</v>
      </c>
      <c r="AL21" s="6" t="s">
        <v>252</v>
      </c>
      <c r="AM21" s="6" t="s">
        <v>526</v>
      </c>
      <c r="AN21" s="6" t="s">
        <v>252</v>
      </c>
      <c r="AO21" s="6" t="s">
        <v>527</v>
      </c>
      <c r="AP21" s="6" t="s">
        <v>252</v>
      </c>
      <c r="AQ21" s="6" t="s">
        <v>528</v>
      </c>
      <c r="AR21" s="6"/>
      <c r="AS21" s="6" t="s">
        <v>280</v>
      </c>
      <c r="AT21" s="6" t="s">
        <v>529</v>
      </c>
      <c r="AU21" s="6" t="s">
        <v>280</v>
      </c>
      <c r="AV21" s="6" t="s">
        <v>530</v>
      </c>
      <c r="AW21" s="6" t="s">
        <v>280</v>
      </c>
      <c r="AX21" s="6" t="s">
        <v>531</v>
      </c>
      <c r="AY21" s="6" t="s">
        <v>252</v>
      </c>
      <c r="AZ21" s="6" t="s">
        <v>532</v>
      </c>
      <c r="BA21" s="6" t="s">
        <v>252</v>
      </c>
      <c r="BB21" s="6" t="s">
        <v>533</v>
      </c>
      <c r="BC21" s="6" t="s">
        <v>252</v>
      </c>
      <c r="BD21" s="6" t="s">
        <v>534</v>
      </c>
    </row>
    <row r="22" spans="1:56" ht="15.75" customHeight="1">
      <c r="A22" s="7" t="s">
        <v>492</v>
      </c>
      <c r="B22" s="6" t="s">
        <v>352</v>
      </c>
      <c r="C22" s="6" t="s">
        <v>535</v>
      </c>
      <c r="D22" s="6" t="s">
        <v>352</v>
      </c>
      <c r="E22" s="6" t="s">
        <v>536</v>
      </c>
      <c r="F22" s="8" t="s">
        <v>352</v>
      </c>
      <c r="G22" s="6" t="s">
        <v>537</v>
      </c>
      <c r="H22" s="6" t="s">
        <v>352</v>
      </c>
      <c r="I22" s="6" t="s">
        <v>538</v>
      </c>
      <c r="J22" s="6" t="s">
        <v>352</v>
      </c>
      <c r="K22" s="6" t="s">
        <v>539</v>
      </c>
      <c r="L22" s="6" t="s">
        <v>352</v>
      </c>
      <c r="M22" s="6" t="s">
        <v>540</v>
      </c>
      <c r="N22" s="6" t="s">
        <v>352</v>
      </c>
      <c r="O22" s="6" t="s">
        <v>541</v>
      </c>
      <c r="P22" s="6" t="s">
        <v>352</v>
      </c>
      <c r="Q22" s="6" t="s">
        <v>542</v>
      </c>
      <c r="R22" s="6" t="s">
        <v>352</v>
      </c>
      <c r="S22" s="6" t="s">
        <v>543</v>
      </c>
      <c r="T22" s="6" t="s">
        <v>379</v>
      </c>
      <c r="U22" s="6" t="s">
        <v>544</v>
      </c>
      <c r="V22" s="6" t="s">
        <v>379</v>
      </c>
      <c r="W22" s="6" t="s">
        <v>545</v>
      </c>
      <c r="X22" s="6" t="s">
        <v>379</v>
      </c>
      <c r="Y22" s="6" t="s">
        <v>546</v>
      </c>
      <c r="Z22" s="6" t="s">
        <v>547</v>
      </c>
      <c r="AA22" s="6" t="s">
        <v>548</v>
      </c>
      <c r="AB22" s="6" t="s">
        <v>519</v>
      </c>
      <c r="AC22" s="6" t="s">
        <v>549</v>
      </c>
      <c r="AD22" s="6" t="s">
        <v>550</v>
      </c>
      <c r="AE22" s="6" t="s">
        <v>551</v>
      </c>
      <c r="AF22" s="6" t="s">
        <v>379</v>
      </c>
      <c r="AG22" s="6" t="s">
        <v>552</v>
      </c>
      <c r="AH22" s="6" t="s">
        <v>379</v>
      </c>
      <c r="AI22" s="6" t="s">
        <v>553</v>
      </c>
      <c r="AJ22" s="6" t="s">
        <v>379</v>
      </c>
      <c r="AK22" s="6" t="s">
        <v>554</v>
      </c>
      <c r="AL22" s="6" t="s">
        <v>379</v>
      </c>
      <c r="AM22" s="6" t="s">
        <v>555</v>
      </c>
      <c r="AN22" s="6" t="s">
        <v>379</v>
      </c>
      <c r="AO22" s="6" t="s">
        <v>556</v>
      </c>
      <c r="AP22" s="6" t="s">
        <v>379</v>
      </c>
      <c r="AQ22" s="6" t="s">
        <v>557</v>
      </c>
      <c r="AR22" s="6"/>
      <c r="AS22" s="6" t="s">
        <v>381</v>
      </c>
      <c r="AT22" s="6" t="s">
        <v>558</v>
      </c>
      <c r="AU22" s="6" t="s">
        <v>381</v>
      </c>
      <c r="AV22" s="6" t="s">
        <v>559</v>
      </c>
      <c r="AW22" s="6" t="s">
        <v>381</v>
      </c>
      <c r="AX22" s="6" t="s">
        <v>560</v>
      </c>
      <c r="AY22" s="6" t="s">
        <v>352</v>
      </c>
      <c r="AZ22" s="6" t="s">
        <v>561</v>
      </c>
      <c r="BA22" s="6" t="s">
        <v>352</v>
      </c>
      <c r="BB22" s="6" t="s">
        <v>562</v>
      </c>
      <c r="BC22" s="6" t="s">
        <v>352</v>
      </c>
      <c r="BD22" s="6" t="s">
        <v>563</v>
      </c>
    </row>
    <row r="23" spans="1:56" ht="12.75">
      <c r="A23" s="7" t="s">
        <v>564</v>
      </c>
      <c r="B23" s="6" t="s">
        <v>309</v>
      </c>
      <c r="C23" s="6" t="s">
        <v>565</v>
      </c>
      <c r="D23" s="6" t="s">
        <v>309</v>
      </c>
      <c r="E23" s="6" t="s">
        <v>566</v>
      </c>
      <c r="F23" s="8" t="s">
        <v>309</v>
      </c>
      <c r="G23" s="6" t="s">
        <v>567</v>
      </c>
      <c r="H23" s="6" t="s">
        <v>293</v>
      </c>
      <c r="I23" s="6" t="s">
        <v>568</v>
      </c>
      <c r="J23" s="6" t="s">
        <v>293</v>
      </c>
      <c r="K23" s="6" t="s">
        <v>569</v>
      </c>
      <c r="L23" s="6" t="s">
        <v>293</v>
      </c>
      <c r="M23" s="6" t="s">
        <v>570</v>
      </c>
      <c r="N23" s="6" t="s">
        <v>309</v>
      </c>
      <c r="O23" s="6" t="s">
        <v>571</v>
      </c>
      <c r="P23" s="6" t="s">
        <v>293</v>
      </c>
      <c r="Q23" s="6" t="s">
        <v>572</v>
      </c>
      <c r="R23" s="6" t="s">
        <v>293</v>
      </c>
      <c r="S23" s="6" t="s">
        <v>573</v>
      </c>
      <c r="T23" s="6" t="s">
        <v>293</v>
      </c>
      <c r="U23" s="6" t="s">
        <v>574</v>
      </c>
      <c r="V23" s="6" t="s">
        <v>322</v>
      </c>
      <c r="W23" s="6" t="s">
        <v>575</v>
      </c>
      <c r="X23" s="6" t="s">
        <v>322</v>
      </c>
      <c r="Y23" s="6" t="s">
        <v>576</v>
      </c>
      <c r="Z23" s="6" t="s">
        <v>577</v>
      </c>
      <c r="AA23" s="6" t="s">
        <v>578</v>
      </c>
      <c r="AB23" s="6" t="s">
        <v>579</v>
      </c>
      <c r="AC23" s="6" t="s">
        <v>580</v>
      </c>
      <c r="AD23" s="6" t="s">
        <v>581</v>
      </c>
      <c r="AE23" s="6" t="s">
        <v>582</v>
      </c>
      <c r="AF23" s="6" t="s">
        <v>322</v>
      </c>
      <c r="AG23" s="6" t="s">
        <v>583</v>
      </c>
      <c r="AH23" s="6" t="s">
        <v>322</v>
      </c>
      <c r="AI23" s="6" t="s">
        <v>584</v>
      </c>
      <c r="AJ23" s="6" t="s">
        <v>322</v>
      </c>
      <c r="AK23" s="6" t="s">
        <v>585</v>
      </c>
      <c r="AL23" s="6" t="s">
        <v>322</v>
      </c>
      <c r="AM23" s="6" t="s">
        <v>586</v>
      </c>
      <c r="AN23" s="6" t="s">
        <v>322</v>
      </c>
      <c r="AO23" s="6" t="s">
        <v>587</v>
      </c>
      <c r="AP23" s="6" t="s">
        <v>322</v>
      </c>
      <c r="AQ23" s="6" t="s">
        <v>588</v>
      </c>
      <c r="AR23" s="6"/>
      <c r="AS23" s="6" t="s">
        <v>322</v>
      </c>
      <c r="AT23" s="6" t="s">
        <v>589</v>
      </c>
      <c r="AU23" s="6" t="s">
        <v>322</v>
      </c>
      <c r="AV23" s="6" t="s">
        <v>590</v>
      </c>
      <c r="AW23" s="6" t="s">
        <v>322</v>
      </c>
      <c r="AX23" s="6" t="s">
        <v>591</v>
      </c>
      <c r="AY23" s="6" t="s">
        <v>293</v>
      </c>
      <c r="AZ23" s="6" t="s">
        <v>592</v>
      </c>
      <c r="BA23" s="6" t="s">
        <v>293</v>
      </c>
      <c r="BB23" s="6" t="s">
        <v>593</v>
      </c>
      <c r="BC23" s="6" t="s">
        <v>293</v>
      </c>
      <c r="BD23" s="6" t="s">
        <v>594</v>
      </c>
    </row>
    <row r="24" spans="1:56" ht="12.75">
      <c r="A24" s="7" t="s">
        <v>595</v>
      </c>
      <c r="B24" s="6" t="s">
        <v>379</v>
      </c>
      <c r="C24" s="6" t="s">
        <v>596</v>
      </c>
      <c r="D24" s="6" t="s">
        <v>379</v>
      </c>
      <c r="E24" s="6" t="s">
        <v>597</v>
      </c>
      <c r="F24" s="8" t="s">
        <v>352</v>
      </c>
      <c r="G24" s="6" t="s">
        <v>598</v>
      </c>
      <c r="H24" s="6" t="s">
        <v>436</v>
      </c>
      <c r="I24" s="6" t="s">
        <v>599</v>
      </c>
      <c r="J24" s="6" t="s">
        <v>381</v>
      </c>
      <c r="K24" s="6" t="s">
        <v>600</v>
      </c>
      <c r="L24" s="6" t="s">
        <v>381</v>
      </c>
      <c r="M24" s="6" t="s">
        <v>601</v>
      </c>
      <c r="N24" s="6" t="s">
        <v>381</v>
      </c>
      <c r="O24" s="6" t="s">
        <v>602</v>
      </c>
      <c r="P24" s="6" t="s">
        <v>381</v>
      </c>
      <c r="Q24" s="6" t="s">
        <v>603</v>
      </c>
      <c r="R24" s="6" t="s">
        <v>381</v>
      </c>
      <c r="S24" s="6" t="s">
        <v>604</v>
      </c>
      <c r="T24" s="6" t="s">
        <v>436</v>
      </c>
      <c r="U24" s="6" t="s">
        <v>605</v>
      </c>
      <c r="V24" s="6" t="s">
        <v>381</v>
      </c>
      <c r="W24" s="6" t="s">
        <v>606</v>
      </c>
      <c r="X24" s="6" t="s">
        <v>436</v>
      </c>
      <c r="Y24" s="6" t="s">
        <v>607</v>
      </c>
      <c r="Z24" s="6" t="s">
        <v>608</v>
      </c>
      <c r="AA24" s="6" t="s">
        <v>609</v>
      </c>
      <c r="AB24" s="6" t="s">
        <v>610</v>
      </c>
      <c r="AC24" s="6" t="s">
        <v>611</v>
      </c>
      <c r="AD24" s="6" t="s">
        <v>612</v>
      </c>
      <c r="AE24" s="6" t="s">
        <v>613</v>
      </c>
      <c r="AF24" s="6" t="s">
        <v>436</v>
      </c>
      <c r="AG24" s="6" t="s">
        <v>614</v>
      </c>
      <c r="AH24" s="6" t="s">
        <v>436</v>
      </c>
      <c r="AI24" s="6" t="s">
        <v>615</v>
      </c>
      <c r="AJ24" s="6" t="s">
        <v>436</v>
      </c>
      <c r="AK24" s="6" t="s">
        <v>616</v>
      </c>
      <c r="AL24" s="6" t="s">
        <v>490</v>
      </c>
      <c r="AM24" s="6" t="s">
        <v>617</v>
      </c>
      <c r="AN24" s="6" t="s">
        <v>490</v>
      </c>
      <c r="AO24" s="6" t="s">
        <v>618</v>
      </c>
      <c r="AP24" s="6" t="s">
        <v>490</v>
      </c>
      <c r="AQ24" s="6" t="s">
        <v>619</v>
      </c>
      <c r="AR24" s="6"/>
      <c r="AS24" s="6" t="s">
        <v>436</v>
      </c>
      <c r="AT24" s="6" t="s">
        <v>620</v>
      </c>
      <c r="AU24" s="6" t="s">
        <v>436</v>
      </c>
      <c r="AV24" s="6" t="s">
        <v>621</v>
      </c>
      <c r="AW24" s="6" t="s">
        <v>436</v>
      </c>
      <c r="AX24" s="6" t="s">
        <v>622</v>
      </c>
      <c r="AY24" s="6" t="s">
        <v>379</v>
      </c>
      <c r="AZ24" s="6" t="s">
        <v>623</v>
      </c>
      <c r="BA24" s="6" t="s">
        <v>379</v>
      </c>
      <c r="BB24" s="6" t="s">
        <v>624</v>
      </c>
      <c r="BC24" s="6" t="s">
        <v>379</v>
      </c>
      <c r="BD24" s="6" t="s">
        <v>625</v>
      </c>
    </row>
    <row r="25" spans="1:56" ht="12.75">
      <c r="A25" s="7" t="s">
        <v>521</v>
      </c>
      <c r="B25" s="6" t="s">
        <v>309</v>
      </c>
      <c r="C25" s="6" t="s">
        <v>626</v>
      </c>
      <c r="D25" s="6" t="s">
        <v>309</v>
      </c>
      <c r="E25" s="6" t="s">
        <v>627</v>
      </c>
      <c r="F25" s="8" t="s">
        <v>280</v>
      </c>
      <c r="G25" s="6" t="s">
        <v>628</v>
      </c>
      <c r="H25" s="6" t="s">
        <v>309</v>
      </c>
      <c r="I25" s="6" t="s">
        <v>629</v>
      </c>
      <c r="J25" s="6" t="s">
        <v>309</v>
      </c>
      <c r="K25" s="6" t="s">
        <v>630</v>
      </c>
      <c r="L25" s="6" t="s">
        <v>293</v>
      </c>
      <c r="M25" s="6" t="s">
        <v>631</v>
      </c>
      <c r="N25" s="6" t="s">
        <v>309</v>
      </c>
      <c r="O25" s="6" t="s">
        <v>632</v>
      </c>
      <c r="P25" s="6" t="s">
        <v>293</v>
      </c>
      <c r="Q25" s="6" t="s">
        <v>633</v>
      </c>
      <c r="R25" s="6" t="s">
        <v>309</v>
      </c>
      <c r="S25" s="6" t="s">
        <v>634</v>
      </c>
      <c r="T25" s="6" t="s">
        <v>293</v>
      </c>
      <c r="U25" s="6" t="s">
        <v>635</v>
      </c>
      <c r="V25" s="6" t="s">
        <v>293</v>
      </c>
      <c r="W25" s="6" t="s">
        <v>636</v>
      </c>
      <c r="X25" s="6" t="s">
        <v>293</v>
      </c>
      <c r="Y25" s="6" t="s">
        <v>637</v>
      </c>
      <c r="Z25" s="6" t="s">
        <v>610</v>
      </c>
      <c r="AA25" s="6" t="s">
        <v>638</v>
      </c>
      <c r="AB25" s="6" t="s">
        <v>610</v>
      </c>
      <c r="AC25" s="6" t="s">
        <v>639</v>
      </c>
      <c r="AD25" s="6" t="s">
        <v>608</v>
      </c>
      <c r="AE25" s="6" t="s">
        <v>640</v>
      </c>
      <c r="AF25" s="6" t="s">
        <v>293</v>
      </c>
      <c r="AG25" s="6" t="s">
        <v>641</v>
      </c>
      <c r="AH25" s="6" t="s">
        <v>293</v>
      </c>
      <c r="AI25" s="6" t="s">
        <v>642</v>
      </c>
      <c r="AJ25" s="6" t="s">
        <v>293</v>
      </c>
      <c r="AK25" s="6" t="s">
        <v>643</v>
      </c>
      <c r="AL25" s="6" t="s">
        <v>252</v>
      </c>
      <c r="AM25" s="6" t="s">
        <v>644</v>
      </c>
      <c r="AN25" s="6" t="s">
        <v>252</v>
      </c>
      <c r="AO25" s="6" t="s">
        <v>645</v>
      </c>
      <c r="AP25" s="6" t="s">
        <v>252</v>
      </c>
      <c r="AQ25" s="6" t="s">
        <v>646</v>
      </c>
      <c r="AR25" s="6"/>
      <c r="AS25" s="6" t="s">
        <v>293</v>
      </c>
      <c r="AT25" s="6" t="s">
        <v>647</v>
      </c>
      <c r="AU25" s="6" t="s">
        <v>293</v>
      </c>
      <c r="AV25" s="6" t="s">
        <v>648</v>
      </c>
      <c r="AW25" s="6" t="s">
        <v>293</v>
      </c>
      <c r="AX25" s="6" t="s">
        <v>649</v>
      </c>
      <c r="AY25" s="6" t="s">
        <v>280</v>
      </c>
      <c r="AZ25" s="6" t="s">
        <v>650</v>
      </c>
      <c r="BA25" s="6" t="s">
        <v>280</v>
      </c>
      <c r="BB25" s="6" t="s">
        <v>651</v>
      </c>
      <c r="BC25" s="6" t="s">
        <v>280</v>
      </c>
      <c r="BD25" s="6" t="s">
        <v>652</v>
      </c>
    </row>
    <row r="26" spans="1:56" ht="12.75">
      <c r="A26" s="7" t="s">
        <v>519</v>
      </c>
      <c r="B26" s="6" t="s">
        <v>280</v>
      </c>
      <c r="C26" s="6" t="s">
        <v>653</v>
      </c>
      <c r="D26" s="6" t="s">
        <v>309</v>
      </c>
      <c r="E26" s="6" t="s">
        <v>654</v>
      </c>
      <c r="F26" s="8" t="s">
        <v>309</v>
      </c>
      <c r="G26" s="6" t="s">
        <v>655</v>
      </c>
      <c r="H26" s="6" t="s">
        <v>309</v>
      </c>
      <c r="I26" s="6" t="s">
        <v>656</v>
      </c>
      <c r="J26" s="6" t="s">
        <v>309</v>
      </c>
      <c r="K26" s="6" t="s">
        <v>657</v>
      </c>
      <c r="L26" s="6" t="s">
        <v>309</v>
      </c>
      <c r="M26" s="6" t="s">
        <v>658</v>
      </c>
      <c r="N26" s="6" t="s">
        <v>309</v>
      </c>
      <c r="O26" s="6" t="s">
        <v>659</v>
      </c>
      <c r="P26" s="6" t="s">
        <v>280</v>
      </c>
      <c r="Q26" s="6" t="s">
        <v>660</v>
      </c>
      <c r="R26" s="6" t="s">
        <v>280</v>
      </c>
      <c r="S26" s="6" t="s">
        <v>661</v>
      </c>
      <c r="T26" s="6" t="s">
        <v>293</v>
      </c>
      <c r="U26" s="6" t="s">
        <v>662</v>
      </c>
      <c r="V26" s="6" t="s">
        <v>293</v>
      </c>
      <c r="W26" s="6" t="s">
        <v>663</v>
      </c>
      <c r="X26" s="6" t="s">
        <v>293</v>
      </c>
      <c r="Y26" s="6" t="s">
        <v>664</v>
      </c>
      <c r="Z26" s="6" t="s">
        <v>665</v>
      </c>
      <c r="AA26" s="6" t="s">
        <v>666</v>
      </c>
      <c r="AB26" s="6" t="s">
        <v>667</v>
      </c>
      <c r="AC26" s="6" t="s">
        <v>668</v>
      </c>
      <c r="AD26" s="6" t="s">
        <v>667</v>
      </c>
      <c r="AE26" s="6" t="s">
        <v>669</v>
      </c>
      <c r="AF26" s="6" t="s">
        <v>293</v>
      </c>
      <c r="AG26" s="6" t="s">
        <v>670</v>
      </c>
      <c r="AH26" s="6" t="s">
        <v>293</v>
      </c>
      <c r="AI26" s="6" t="s">
        <v>671</v>
      </c>
      <c r="AJ26" s="6" t="s">
        <v>293</v>
      </c>
      <c r="AK26" s="6" t="s">
        <v>672</v>
      </c>
      <c r="AL26" s="6" t="s">
        <v>280</v>
      </c>
      <c r="AM26" s="6" t="s">
        <v>673</v>
      </c>
      <c r="AN26" s="6" t="s">
        <v>280</v>
      </c>
      <c r="AO26" s="6" t="s">
        <v>674</v>
      </c>
      <c r="AP26" s="6" t="s">
        <v>280</v>
      </c>
      <c r="AQ26" s="6" t="s">
        <v>675</v>
      </c>
      <c r="AR26" s="6"/>
      <c r="AS26" s="6" t="s">
        <v>293</v>
      </c>
      <c r="AT26" s="6" t="s">
        <v>676</v>
      </c>
      <c r="AU26" s="6" t="s">
        <v>293</v>
      </c>
      <c r="AV26" s="6" t="s">
        <v>677</v>
      </c>
      <c r="AW26" s="6" t="s">
        <v>293</v>
      </c>
      <c r="AX26" s="6" t="s">
        <v>678</v>
      </c>
      <c r="AY26" s="6" t="s">
        <v>280</v>
      </c>
      <c r="AZ26" s="6" t="s">
        <v>679</v>
      </c>
      <c r="BA26" s="6" t="s">
        <v>280</v>
      </c>
      <c r="BB26" s="6" t="s">
        <v>680</v>
      </c>
      <c r="BC26" s="6" t="s">
        <v>280</v>
      </c>
      <c r="BD26" s="6" t="s">
        <v>681</v>
      </c>
    </row>
    <row r="27" spans="1:56" ht="12.75">
      <c r="A27" s="7" t="s">
        <v>682</v>
      </c>
      <c r="B27" s="6" t="s">
        <v>309</v>
      </c>
      <c r="C27" s="6" t="s">
        <v>683</v>
      </c>
      <c r="D27" s="6" t="s">
        <v>309</v>
      </c>
      <c r="E27" s="6" t="s">
        <v>684</v>
      </c>
      <c r="F27" s="8" t="s">
        <v>309</v>
      </c>
      <c r="G27" s="6" t="s">
        <v>685</v>
      </c>
      <c r="H27" s="6" t="s">
        <v>293</v>
      </c>
      <c r="I27" s="6" t="s">
        <v>686</v>
      </c>
      <c r="J27" s="6" t="s">
        <v>293</v>
      </c>
      <c r="K27" s="6" t="s">
        <v>687</v>
      </c>
      <c r="L27" s="6" t="s">
        <v>293</v>
      </c>
      <c r="M27" s="6" t="s">
        <v>688</v>
      </c>
      <c r="N27" s="6" t="s">
        <v>293</v>
      </c>
      <c r="O27" s="6" t="s">
        <v>689</v>
      </c>
      <c r="P27" s="6" t="s">
        <v>293</v>
      </c>
      <c r="Q27" s="6" t="s">
        <v>690</v>
      </c>
      <c r="R27" s="6" t="s">
        <v>293</v>
      </c>
      <c r="S27" s="6" t="s">
        <v>691</v>
      </c>
      <c r="T27" s="6" t="s">
        <v>293</v>
      </c>
      <c r="U27" s="6" t="s">
        <v>692</v>
      </c>
      <c r="V27" s="6" t="s">
        <v>322</v>
      </c>
      <c r="W27" s="6" t="s">
        <v>693</v>
      </c>
      <c r="X27" s="6" t="s">
        <v>322</v>
      </c>
      <c r="Y27" s="6" t="s">
        <v>694</v>
      </c>
      <c r="Z27" s="6" t="s">
        <v>695</v>
      </c>
      <c r="AA27" s="6" t="s">
        <v>696</v>
      </c>
      <c r="AB27" s="6" t="s">
        <v>697</v>
      </c>
      <c r="AC27" s="6" t="s">
        <v>698</v>
      </c>
      <c r="AD27" s="6" t="s">
        <v>695</v>
      </c>
      <c r="AE27" s="6" t="s">
        <v>699</v>
      </c>
      <c r="AF27" s="6" t="s">
        <v>322</v>
      </c>
      <c r="AG27" s="6" t="s">
        <v>700</v>
      </c>
      <c r="AH27" s="6" t="s">
        <v>322</v>
      </c>
      <c r="AI27" s="6" t="s">
        <v>701</v>
      </c>
      <c r="AJ27" s="6" t="s">
        <v>322</v>
      </c>
      <c r="AK27" s="6" t="s">
        <v>702</v>
      </c>
      <c r="AL27" s="6" t="s">
        <v>322</v>
      </c>
      <c r="AM27" s="6" t="s">
        <v>703</v>
      </c>
      <c r="AN27" s="6" t="s">
        <v>322</v>
      </c>
      <c r="AO27" s="6" t="s">
        <v>704</v>
      </c>
      <c r="AP27" s="6" t="s">
        <v>322</v>
      </c>
      <c r="AQ27" s="6" t="s">
        <v>705</v>
      </c>
      <c r="AR27" s="6"/>
      <c r="AS27" s="6" t="s">
        <v>293</v>
      </c>
      <c r="AT27" s="6" t="s">
        <v>706</v>
      </c>
      <c r="AU27" s="6" t="s">
        <v>293</v>
      </c>
      <c r="AV27" s="6" t="s">
        <v>707</v>
      </c>
      <c r="AW27" s="6" t="s">
        <v>293</v>
      </c>
      <c r="AX27" s="6" t="s">
        <v>708</v>
      </c>
      <c r="AY27" s="6" t="s">
        <v>309</v>
      </c>
      <c r="AZ27" s="6" t="s">
        <v>709</v>
      </c>
      <c r="BA27" s="6" t="s">
        <v>309</v>
      </c>
      <c r="BB27" s="6" t="s">
        <v>710</v>
      </c>
      <c r="BC27" s="6" t="s">
        <v>309</v>
      </c>
      <c r="BD27" s="6" t="s">
        <v>711</v>
      </c>
    </row>
    <row r="28" spans="1:56" ht="12.75">
      <c r="A28" s="7" t="s">
        <v>550</v>
      </c>
      <c r="B28" s="6" t="s">
        <v>280</v>
      </c>
      <c r="C28" s="6" t="s">
        <v>712</v>
      </c>
      <c r="D28" s="6" t="s">
        <v>309</v>
      </c>
      <c r="E28" s="6" t="s">
        <v>713</v>
      </c>
      <c r="F28" s="8" t="s">
        <v>309</v>
      </c>
      <c r="G28" s="6" t="s">
        <v>714</v>
      </c>
      <c r="H28" s="6" t="s">
        <v>309</v>
      </c>
      <c r="I28" s="6" t="s">
        <v>715</v>
      </c>
      <c r="J28" s="6" t="s">
        <v>309</v>
      </c>
      <c r="K28" s="6" t="s">
        <v>716</v>
      </c>
      <c r="L28" s="6" t="s">
        <v>309</v>
      </c>
      <c r="M28" s="6" t="s">
        <v>717</v>
      </c>
      <c r="N28" s="6" t="s">
        <v>309</v>
      </c>
      <c r="O28" s="6" t="s">
        <v>718</v>
      </c>
      <c r="P28" s="6" t="s">
        <v>293</v>
      </c>
      <c r="Q28" s="6" t="s">
        <v>719</v>
      </c>
      <c r="R28" s="6" t="s">
        <v>293</v>
      </c>
      <c r="S28" s="6" t="s">
        <v>720</v>
      </c>
      <c r="T28" s="6" t="s">
        <v>293</v>
      </c>
      <c r="U28" s="6" t="s">
        <v>721</v>
      </c>
      <c r="V28" s="6" t="s">
        <v>293</v>
      </c>
      <c r="W28" s="6" t="s">
        <v>722</v>
      </c>
      <c r="X28" s="6" t="s">
        <v>293</v>
      </c>
      <c r="Y28" s="6" t="s">
        <v>723</v>
      </c>
      <c r="Z28" s="6" t="s">
        <v>724</v>
      </c>
      <c r="AA28" s="6" t="s">
        <v>725</v>
      </c>
      <c r="AB28" s="6" t="s">
        <v>667</v>
      </c>
      <c r="AC28" s="6" t="s">
        <v>726</v>
      </c>
      <c r="AD28" s="6" t="s">
        <v>727</v>
      </c>
      <c r="AE28" s="6" t="s">
        <v>728</v>
      </c>
      <c r="AF28" s="6" t="s">
        <v>293</v>
      </c>
      <c r="AG28" s="6" t="s">
        <v>729</v>
      </c>
      <c r="AH28" s="6" t="s">
        <v>293</v>
      </c>
      <c r="AI28" s="6" t="s">
        <v>730</v>
      </c>
      <c r="AJ28" s="6" t="s">
        <v>293</v>
      </c>
      <c r="AK28" s="6" t="s">
        <v>731</v>
      </c>
      <c r="AL28" s="6" t="s">
        <v>280</v>
      </c>
      <c r="AM28" s="6" t="s">
        <v>732</v>
      </c>
      <c r="AN28" s="6" t="s">
        <v>280</v>
      </c>
      <c r="AO28" s="6" t="s">
        <v>733</v>
      </c>
      <c r="AP28" s="6" t="s">
        <v>280</v>
      </c>
      <c r="AQ28" s="6" t="s">
        <v>734</v>
      </c>
      <c r="AR28" s="6"/>
      <c r="AS28" s="6" t="s">
        <v>293</v>
      </c>
      <c r="AT28" s="6" t="s">
        <v>735</v>
      </c>
      <c r="AU28" s="6" t="s">
        <v>293</v>
      </c>
      <c r="AV28" s="6" t="s">
        <v>736</v>
      </c>
      <c r="AW28" s="6" t="s">
        <v>293</v>
      </c>
      <c r="AX28" s="6" t="s">
        <v>737</v>
      </c>
      <c r="AY28" s="6" t="s">
        <v>309</v>
      </c>
      <c r="AZ28" s="6" t="s">
        <v>738</v>
      </c>
      <c r="BA28" s="6" t="s">
        <v>309</v>
      </c>
      <c r="BB28" s="6" t="s">
        <v>739</v>
      </c>
      <c r="BC28" s="6" t="s">
        <v>309</v>
      </c>
      <c r="BD28" s="6" t="s">
        <v>740</v>
      </c>
    </row>
    <row r="29" spans="1:56" ht="12.75">
      <c r="A29" s="7" t="s">
        <v>741</v>
      </c>
      <c r="B29" s="6" t="s">
        <v>564</v>
      </c>
      <c r="C29" s="6" t="s">
        <v>742</v>
      </c>
      <c r="D29" s="6" t="s">
        <v>564</v>
      </c>
      <c r="E29" s="6" t="s">
        <v>743</v>
      </c>
      <c r="F29" s="8" t="s">
        <v>564</v>
      </c>
      <c r="G29" s="6" t="s">
        <v>744</v>
      </c>
      <c r="H29" s="6" t="s">
        <v>595</v>
      </c>
      <c r="I29" s="6" t="s">
        <v>745</v>
      </c>
      <c r="J29" s="6" t="s">
        <v>521</v>
      </c>
      <c r="K29" s="6" t="s">
        <v>746</v>
      </c>
      <c r="L29" s="6" t="s">
        <v>595</v>
      </c>
      <c r="M29" s="6" t="s">
        <v>747</v>
      </c>
      <c r="N29" s="6" t="s">
        <v>595</v>
      </c>
      <c r="O29" s="6" t="s">
        <v>748</v>
      </c>
      <c r="P29" s="6" t="s">
        <v>595</v>
      </c>
      <c r="Q29" s="6" t="s">
        <v>749</v>
      </c>
      <c r="R29" s="6" t="s">
        <v>595</v>
      </c>
      <c r="S29" s="6" t="s">
        <v>750</v>
      </c>
      <c r="T29" s="6" t="s">
        <v>564</v>
      </c>
      <c r="U29" s="6" t="s">
        <v>751</v>
      </c>
      <c r="V29" s="6" t="s">
        <v>564</v>
      </c>
      <c r="W29" s="6" t="s">
        <v>752</v>
      </c>
      <c r="X29" s="6" t="s">
        <v>595</v>
      </c>
      <c r="Y29" s="6" t="s">
        <v>753</v>
      </c>
      <c r="Z29" s="6" t="s">
        <v>695</v>
      </c>
      <c r="AA29" s="6" t="s">
        <v>754</v>
      </c>
      <c r="AB29" s="6" t="s">
        <v>755</v>
      </c>
      <c r="AC29" s="6" t="s">
        <v>756</v>
      </c>
      <c r="AD29" s="6" t="s">
        <v>755</v>
      </c>
      <c r="AE29" s="6" t="s">
        <v>757</v>
      </c>
      <c r="AF29" s="6" t="s">
        <v>519</v>
      </c>
      <c r="AG29" s="6" t="s">
        <v>758</v>
      </c>
      <c r="AH29" s="6" t="s">
        <v>519</v>
      </c>
      <c r="AI29" s="6" t="s">
        <v>759</v>
      </c>
      <c r="AJ29" s="6" t="s">
        <v>519</v>
      </c>
      <c r="AK29" s="6" t="s">
        <v>760</v>
      </c>
      <c r="AL29" s="6" t="s">
        <v>521</v>
      </c>
      <c r="AM29" s="6" t="s">
        <v>761</v>
      </c>
      <c r="AN29" s="6" t="s">
        <v>521</v>
      </c>
      <c r="AO29" s="6" t="s">
        <v>762</v>
      </c>
      <c r="AP29" s="6" t="s">
        <v>521</v>
      </c>
      <c r="AQ29" s="6" t="s">
        <v>763</v>
      </c>
      <c r="AR29" s="6"/>
      <c r="AS29" s="6" t="s">
        <v>595</v>
      </c>
      <c r="AT29" s="6" t="s">
        <v>764</v>
      </c>
      <c r="AU29" s="6" t="s">
        <v>595</v>
      </c>
      <c r="AV29" s="6" t="s">
        <v>765</v>
      </c>
      <c r="AW29" s="6" t="s">
        <v>595</v>
      </c>
      <c r="AX29" s="6" t="s">
        <v>766</v>
      </c>
      <c r="AY29" s="6" t="s">
        <v>564</v>
      </c>
      <c r="AZ29" s="6" t="s">
        <v>767</v>
      </c>
      <c r="BA29" s="6" t="s">
        <v>564</v>
      </c>
      <c r="BB29" s="6" t="s">
        <v>768</v>
      </c>
      <c r="BC29" s="6" t="s">
        <v>564</v>
      </c>
      <c r="BD29" s="6" t="s">
        <v>769</v>
      </c>
    </row>
    <row r="30" spans="1:56" ht="12.75">
      <c r="A30" s="7" t="s">
        <v>547</v>
      </c>
      <c r="B30" s="6" t="s">
        <v>770</v>
      </c>
      <c r="C30" s="6" t="s">
        <v>771</v>
      </c>
      <c r="D30" s="6" t="s">
        <v>770</v>
      </c>
      <c r="E30" s="6" t="s">
        <v>772</v>
      </c>
      <c r="F30" s="8" t="s">
        <v>579</v>
      </c>
      <c r="G30" s="6" t="s">
        <v>773</v>
      </c>
      <c r="H30" s="6" t="s">
        <v>770</v>
      </c>
      <c r="I30" s="6" t="s">
        <v>774</v>
      </c>
      <c r="J30" s="6" t="s">
        <v>770</v>
      </c>
      <c r="K30" s="6" t="s">
        <v>775</v>
      </c>
      <c r="L30" s="6" t="s">
        <v>776</v>
      </c>
      <c r="M30" s="6" t="s">
        <v>777</v>
      </c>
      <c r="N30" s="6" t="s">
        <v>776</v>
      </c>
      <c r="O30" s="6" t="s">
        <v>778</v>
      </c>
      <c r="P30" s="6" t="s">
        <v>776</v>
      </c>
      <c r="Q30" s="6" t="s">
        <v>779</v>
      </c>
      <c r="R30" s="6" t="s">
        <v>770</v>
      </c>
      <c r="S30" s="6" t="s">
        <v>780</v>
      </c>
      <c r="T30" s="6" t="s">
        <v>781</v>
      </c>
      <c r="U30" s="6" t="s">
        <v>782</v>
      </c>
      <c r="V30" s="6" t="s">
        <v>781</v>
      </c>
      <c r="W30" s="6" t="s">
        <v>783</v>
      </c>
      <c r="X30" s="6" t="s">
        <v>781</v>
      </c>
      <c r="Y30" s="6" t="s">
        <v>784</v>
      </c>
      <c r="Z30" s="6" t="s">
        <v>665</v>
      </c>
      <c r="AA30" s="6" t="s">
        <v>785</v>
      </c>
      <c r="AB30" s="6" t="s">
        <v>786</v>
      </c>
      <c r="AC30" s="6" t="s">
        <v>787</v>
      </c>
      <c r="AD30" s="6" t="s">
        <v>665</v>
      </c>
      <c r="AE30" s="6" t="s">
        <v>788</v>
      </c>
      <c r="AF30" s="6" t="s">
        <v>781</v>
      </c>
      <c r="AG30" s="6" t="s">
        <v>789</v>
      </c>
      <c r="AH30" s="6" t="s">
        <v>781</v>
      </c>
      <c r="AI30" s="6" t="s">
        <v>790</v>
      </c>
      <c r="AJ30" s="6" t="s">
        <v>781</v>
      </c>
      <c r="AK30" s="6" t="s">
        <v>791</v>
      </c>
      <c r="AL30" s="6" t="s">
        <v>776</v>
      </c>
      <c r="AM30" s="6" t="s">
        <v>792</v>
      </c>
      <c r="AN30" s="6" t="s">
        <v>776</v>
      </c>
      <c r="AO30" s="6" t="s">
        <v>793</v>
      </c>
      <c r="AP30" s="6" t="s">
        <v>776</v>
      </c>
      <c r="AQ30" s="6" t="s">
        <v>794</v>
      </c>
      <c r="AR30" s="6"/>
      <c r="AS30" s="6" t="s">
        <v>781</v>
      </c>
      <c r="AT30" s="6" t="s">
        <v>795</v>
      </c>
      <c r="AU30" s="6" t="s">
        <v>781</v>
      </c>
      <c r="AV30" s="6" t="s">
        <v>796</v>
      </c>
      <c r="AW30" s="6" t="s">
        <v>781</v>
      </c>
      <c r="AX30" s="6" t="s">
        <v>797</v>
      </c>
      <c r="AY30" s="6" t="s">
        <v>770</v>
      </c>
      <c r="AZ30" s="6" t="s">
        <v>798</v>
      </c>
      <c r="BA30" s="6" t="s">
        <v>770</v>
      </c>
      <c r="BB30" s="6" t="s">
        <v>799</v>
      </c>
      <c r="BC30" s="6" t="s">
        <v>770</v>
      </c>
      <c r="BD30" s="6" t="s">
        <v>800</v>
      </c>
    </row>
    <row r="31" spans="1:56" ht="12.75">
      <c r="A31" s="7" t="s">
        <v>801</v>
      </c>
      <c r="B31" s="6" t="s">
        <v>724</v>
      </c>
      <c r="C31" s="6" t="s">
        <v>802</v>
      </c>
      <c r="D31" s="6" t="s">
        <v>724</v>
      </c>
      <c r="E31" s="6" t="s">
        <v>803</v>
      </c>
      <c r="F31" s="8" t="s">
        <v>724</v>
      </c>
      <c r="G31" s="6" t="s">
        <v>804</v>
      </c>
      <c r="H31" s="6" t="s">
        <v>724</v>
      </c>
      <c r="I31" s="6" t="s">
        <v>805</v>
      </c>
      <c r="J31" s="6" t="s">
        <v>724</v>
      </c>
      <c r="K31" s="6" t="s">
        <v>806</v>
      </c>
      <c r="L31" s="6" t="s">
        <v>724</v>
      </c>
      <c r="M31" s="6" t="s">
        <v>807</v>
      </c>
      <c r="N31" s="6" t="s">
        <v>724</v>
      </c>
      <c r="O31" s="6" t="s">
        <v>808</v>
      </c>
      <c r="P31" s="6" t="s">
        <v>724</v>
      </c>
      <c r="Q31" s="6" t="s">
        <v>809</v>
      </c>
      <c r="R31" s="6" t="s">
        <v>724</v>
      </c>
      <c r="S31" s="6" t="s">
        <v>810</v>
      </c>
      <c r="T31" s="6" t="s">
        <v>811</v>
      </c>
      <c r="U31" s="6" t="s">
        <v>812</v>
      </c>
      <c r="V31" s="6" t="s">
        <v>813</v>
      </c>
      <c r="W31" s="6" t="s">
        <v>814</v>
      </c>
      <c r="X31" s="6" t="s">
        <v>665</v>
      </c>
      <c r="Y31" s="6" t="s">
        <v>815</v>
      </c>
      <c r="Z31" s="6" t="s">
        <v>816</v>
      </c>
      <c r="AA31" s="6" t="s">
        <v>817</v>
      </c>
      <c r="AB31" s="6" t="s">
        <v>818</v>
      </c>
      <c r="AC31" s="6" t="s">
        <v>819</v>
      </c>
      <c r="AD31" s="6" t="s">
        <v>820</v>
      </c>
      <c r="AE31" s="6" t="s">
        <v>821</v>
      </c>
      <c r="AF31" s="6" t="s">
        <v>813</v>
      </c>
      <c r="AG31" s="6" t="s">
        <v>822</v>
      </c>
      <c r="AH31" s="6" t="s">
        <v>813</v>
      </c>
      <c r="AI31" s="6" t="s">
        <v>823</v>
      </c>
      <c r="AJ31" s="6" t="s">
        <v>813</v>
      </c>
      <c r="AK31" s="6" t="s">
        <v>824</v>
      </c>
      <c r="AL31" s="6" t="s">
        <v>727</v>
      </c>
      <c r="AM31" s="6" t="s">
        <v>825</v>
      </c>
      <c r="AN31" s="6" t="s">
        <v>727</v>
      </c>
      <c r="AO31" s="6" t="s">
        <v>826</v>
      </c>
      <c r="AP31" s="6" t="s">
        <v>727</v>
      </c>
      <c r="AQ31" s="6" t="s">
        <v>827</v>
      </c>
      <c r="AR31" s="6"/>
      <c r="AS31" s="6" t="s">
        <v>828</v>
      </c>
      <c r="AT31" s="6" t="s">
        <v>829</v>
      </c>
      <c r="AU31" s="6" t="s">
        <v>828</v>
      </c>
      <c r="AV31" s="6" t="s">
        <v>830</v>
      </c>
      <c r="AW31" s="6" t="s">
        <v>828</v>
      </c>
      <c r="AX31" s="6" t="s">
        <v>831</v>
      </c>
      <c r="AY31" s="6" t="s">
        <v>724</v>
      </c>
      <c r="AZ31" s="6" t="s">
        <v>832</v>
      </c>
      <c r="BA31" s="6" t="s">
        <v>724</v>
      </c>
      <c r="BB31" s="6" t="s">
        <v>833</v>
      </c>
      <c r="BC31" s="6" t="s">
        <v>724</v>
      </c>
      <c r="BD31" s="6" t="s">
        <v>834</v>
      </c>
    </row>
    <row r="32" spans="1:56" ht="12.75">
      <c r="A32" s="7" t="s">
        <v>835</v>
      </c>
      <c r="B32" s="6" t="s">
        <v>836</v>
      </c>
      <c r="C32" s="6" t="s">
        <v>837</v>
      </c>
      <c r="D32" s="6" t="s">
        <v>838</v>
      </c>
      <c r="E32" s="6" t="s">
        <v>839</v>
      </c>
      <c r="F32" s="8" t="s">
        <v>836</v>
      </c>
      <c r="G32" s="6" t="s">
        <v>840</v>
      </c>
      <c r="H32" s="6" t="s">
        <v>838</v>
      </c>
      <c r="I32" s="6" t="s">
        <v>841</v>
      </c>
      <c r="J32" s="6" t="s">
        <v>838</v>
      </c>
      <c r="K32" s="6" t="s">
        <v>842</v>
      </c>
      <c r="L32" s="6" t="s">
        <v>838</v>
      </c>
      <c r="M32" s="6" t="s">
        <v>843</v>
      </c>
      <c r="N32" s="6" t="s">
        <v>838</v>
      </c>
      <c r="O32" s="6" t="s">
        <v>844</v>
      </c>
      <c r="P32" s="6" t="s">
        <v>838</v>
      </c>
      <c r="Q32" s="6" t="s">
        <v>845</v>
      </c>
      <c r="R32" s="6" t="s">
        <v>846</v>
      </c>
      <c r="S32" s="6" t="s">
        <v>847</v>
      </c>
      <c r="T32" s="6" t="s">
        <v>848</v>
      </c>
      <c r="U32" s="6" t="s">
        <v>849</v>
      </c>
      <c r="V32" s="6" t="s">
        <v>848</v>
      </c>
      <c r="W32" s="6" t="s">
        <v>850</v>
      </c>
      <c r="X32" s="6" t="s">
        <v>836</v>
      </c>
      <c r="Y32" s="6" t="s">
        <v>851</v>
      </c>
      <c r="Z32" s="6" t="s">
        <v>852</v>
      </c>
      <c r="AA32" s="6" t="s">
        <v>853</v>
      </c>
      <c r="AB32" s="6" t="s">
        <v>854</v>
      </c>
      <c r="AC32" s="6" t="s">
        <v>855</v>
      </c>
      <c r="AD32" s="6" t="s">
        <v>856</v>
      </c>
      <c r="AE32" s="6" t="s">
        <v>857</v>
      </c>
      <c r="AF32" s="6" t="s">
        <v>858</v>
      </c>
      <c r="AG32" s="6" t="s">
        <v>859</v>
      </c>
      <c r="AH32" s="6" t="s">
        <v>858</v>
      </c>
      <c r="AI32" s="6" t="s">
        <v>860</v>
      </c>
      <c r="AJ32" s="6" t="s">
        <v>858</v>
      </c>
      <c r="AK32" s="6" t="s">
        <v>861</v>
      </c>
      <c r="AL32" s="6" t="s">
        <v>858</v>
      </c>
      <c r="AM32" s="6" t="s">
        <v>862</v>
      </c>
      <c r="AN32" s="6" t="s">
        <v>858</v>
      </c>
      <c r="AO32" s="6" t="s">
        <v>863</v>
      </c>
      <c r="AP32" s="6" t="s">
        <v>858</v>
      </c>
      <c r="AQ32" s="6" t="s">
        <v>864</v>
      </c>
      <c r="AR32" s="6"/>
      <c r="AS32" s="6" t="s">
        <v>858</v>
      </c>
      <c r="AT32" s="6" t="s">
        <v>865</v>
      </c>
      <c r="AU32" s="6" t="s">
        <v>858</v>
      </c>
      <c r="AV32" s="6" t="s">
        <v>866</v>
      </c>
      <c r="AW32" s="6" t="s">
        <v>858</v>
      </c>
      <c r="AX32" s="6" t="s">
        <v>867</v>
      </c>
      <c r="AY32" s="6" t="s">
        <v>838</v>
      </c>
      <c r="AZ32" s="6" t="s">
        <v>868</v>
      </c>
      <c r="BA32" s="6" t="s">
        <v>838</v>
      </c>
      <c r="BB32" s="6" t="s">
        <v>869</v>
      </c>
      <c r="BC32" s="6" t="s">
        <v>838</v>
      </c>
      <c r="BD32" s="6" t="s">
        <v>870</v>
      </c>
    </row>
    <row r="33" spans="1:56" ht="12.75">
      <c r="A33" s="7" t="s">
        <v>581</v>
      </c>
      <c r="B33" s="6" t="s">
        <v>871</v>
      </c>
      <c r="C33" s="6" t="s">
        <v>872</v>
      </c>
      <c r="D33" s="6" t="s">
        <v>871</v>
      </c>
      <c r="E33" s="6" t="s">
        <v>873</v>
      </c>
      <c r="F33" s="6" t="s">
        <v>874</v>
      </c>
      <c r="G33" s="6" t="s">
        <v>875</v>
      </c>
      <c r="H33" s="6" t="s">
        <v>876</v>
      </c>
      <c r="I33" s="6" t="s">
        <v>877</v>
      </c>
      <c r="J33" s="6" t="s">
        <v>878</v>
      </c>
      <c r="K33" s="6" t="s">
        <v>879</v>
      </c>
      <c r="L33" s="6" t="s">
        <v>880</v>
      </c>
      <c r="M33" s="6" t="s">
        <v>881</v>
      </c>
      <c r="N33" s="6" t="s">
        <v>880</v>
      </c>
      <c r="O33" s="6" t="s">
        <v>882</v>
      </c>
      <c r="P33" s="6" t="s">
        <v>880</v>
      </c>
      <c r="Q33" s="6" t="s">
        <v>883</v>
      </c>
      <c r="R33" s="6" t="s">
        <v>880</v>
      </c>
      <c r="S33" s="6" t="s">
        <v>884</v>
      </c>
      <c r="T33" s="6" t="s">
        <v>885</v>
      </c>
      <c r="U33" s="6" t="s">
        <v>886</v>
      </c>
      <c r="V33" s="6" t="s">
        <v>880</v>
      </c>
      <c r="W33" s="6" t="s">
        <v>887</v>
      </c>
      <c r="X33" s="6" t="s">
        <v>874</v>
      </c>
      <c r="Y33" s="6" t="s">
        <v>888</v>
      </c>
      <c r="Z33" s="6" t="s">
        <v>889</v>
      </c>
      <c r="AA33" s="6" t="s">
        <v>890</v>
      </c>
      <c r="AB33" s="6" t="s">
        <v>891</v>
      </c>
      <c r="AC33" s="6" t="s">
        <v>892</v>
      </c>
      <c r="AD33" s="6" t="s">
        <v>893</v>
      </c>
      <c r="AE33" s="6" t="s">
        <v>894</v>
      </c>
      <c r="AF33" s="6" t="s">
        <v>874</v>
      </c>
      <c r="AG33" s="6" t="s">
        <v>895</v>
      </c>
      <c r="AH33" s="6" t="s">
        <v>874</v>
      </c>
      <c r="AI33" s="6" t="s">
        <v>896</v>
      </c>
      <c r="AJ33" s="6" t="s">
        <v>874</v>
      </c>
      <c r="AK33" s="6" t="s">
        <v>897</v>
      </c>
      <c r="AL33" s="6" t="s">
        <v>885</v>
      </c>
      <c r="AM33" s="6" t="s">
        <v>898</v>
      </c>
      <c r="AN33" s="6" t="s">
        <v>885</v>
      </c>
      <c r="AO33" s="6" t="s">
        <v>899</v>
      </c>
      <c r="AP33" s="6" t="s">
        <v>885</v>
      </c>
      <c r="AQ33" s="6" t="s">
        <v>900</v>
      </c>
      <c r="AR33" s="6"/>
      <c r="AS33" s="6" t="s">
        <v>901</v>
      </c>
      <c r="AT33" s="6" t="s">
        <v>902</v>
      </c>
      <c r="AU33" s="6" t="s">
        <v>901</v>
      </c>
      <c r="AV33" s="6" t="s">
        <v>903</v>
      </c>
      <c r="AW33" s="6" t="s">
        <v>901</v>
      </c>
      <c r="AX33" s="6" t="s">
        <v>904</v>
      </c>
      <c r="AY33" s="6" t="s">
        <v>905</v>
      </c>
      <c r="AZ33" s="6" t="s">
        <v>906</v>
      </c>
      <c r="BA33" s="6" t="s">
        <v>905</v>
      </c>
      <c r="BB33" s="6" t="s">
        <v>907</v>
      </c>
      <c r="BC33" s="6" t="s">
        <v>905</v>
      </c>
      <c r="BD33" s="6" t="s">
        <v>908</v>
      </c>
    </row>
    <row r="34" spans="1:56" ht="12.75">
      <c r="A34" s="7" t="s">
        <v>577</v>
      </c>
      <c r="B34" s="6" t="s">
        <v>909</v>
      </c>
      <c r="C34" s="6" t="s">
        <v>910</v>
      </c>
      <c r="D34" s="6" t="s">
        <v>911</v>
      </c>
      <c r="E34" s="6" t="s">
        <v>912</v>
      </c>
      <c r="F34" s="6" t="s">
        <v>909</v>
      </c>
      <c r="G34" s="6" t="s">
        <v>913</v>
      </c>
      <c r="H34" s="6" t="s">
        <v>914</v>
      </c>
      <c r="I34" s="6" t="s">
        <v>915</v>
      </c>
      <c r="J34" s="6" t="s">
        <v>914</v>
      </c>
      <c r="K34" s="6" t="s">
        <v>916</v>
      </c>
      <c r="L34" s="6" t="s">
        <v>909</v>
      </c>
      <c r="M34" s="6" t="s">
        <v>917</v>
      </c>
      <c r="N34" s="6" t="s">
        <v>914</v>
      </c>
      <c r="O34" s="6" t="s">
        <v>918</v>
      </c>
      <c r="P34" s="6" t="s">
        <v>909</v>
      </c>
      <c r="Q34" s="6" t="s">
        <v>919</v>
      </c>
      <c r="R34" s="6" t="s">
        <v>909</v>
      </c>
      <c r="S34" s="6" t="s">
        <v>920</v>
      </c>
      <c r="T34" s="6" t="s">
        <v>921</v>
      </c>
      <c r="U34" s="6" t="s">
        <v>922</v>
      </c>
      <c r="V34" s="6" t="s">
        <v>914</v>
      </c>
      <c r="W34" s="6" t="s">
        <v>923</v>
      </c>
      <c r="X34" s="6" t="s">
        <v>911</v>
      </c>
      <c r="Y34" s="6" t="s">
        <v>924</v>
      </c>
      <c r="Z34" s="6" t="s">
        <v>925</v>
      </c>
      <c r="AA34" s="6" t="s">
        <v>926</v>
      </c>
      <c r="AB34" s="6" t="s">
        <v>927</v>
      </c>
      <c r="AC34" s="6" t="s">
        <v>928</v>
      </c>
      <c r="AD34" s="6" t="s">
        <v>929</v>
      </c>
      <c r="AE34" s="6" t="s">
        <v>930</v>
      </c>
      <c r="AF34" s="6" t="s">
        <v>921</v>
      </c>
      <c r="AG34" s="6" t="s">
        <v>931</v>
      </c>
      <c r="AH34" s="6" t="s">
        <v>921</v>
      </c>
      <c r="AI34" s="6" t="s">
        <v>932</v>
      </c>
      <c r="AJ34" s="6" t="s">
        <v>921</v>
      </c>
      <c r="AK34" s="6" t="s">
        <v>933</v>
      </c>
      <c r="AL34" s="6" t="s">
        <v>934</v>
      </c>
      <c r="AM34" s="6" t="s">
        <v>935</v>
      </c>
      <c r="AN34" s="6" t="s">
        <v>934</v>
      </c>
      <c r="AO34" s="6" t="s">
        <v>936</v>
      </c>
      <c r="AP34" s="6" t="s">
        <v>934</v>
      </c>
      <c r="AQ34" s="6" t="s">
        <v>937</v>
      </c>
      <c r="AR34" s="6"/>
      <c r="AS34" s="6" t="s">
        <v>938</v>
      </c>
      <c r="AT34" s="6" t="s">
        <v>939</v>
      </c>
      <c r="AU34" s="6" t="s">
        <v>938</v>
      </c>
      <c r="AV34" s="6" t="s">
        <v>940</v>
      </c>
      <c r="AW34" s="6" t="s">
        <v>938</v>
      </c>
      <c r="AX34" s="6" t="s">
        <v>941</v>
      </c>
      <c r="AY34" s="6" t="s">
        <v>909</v>
      </c>
      <c r="AZ34" s="6" t="s">
        <v>942</v>
      </c>
      <c r="BA34" s="6" t="s">
        <v>909</v>
      </c>
      <c r="BB34" s="6" t="s">
        <v>943</v>
      </c>
      <c r="BC34" s="6" t="s">
        <v>909</v>
      </c>
      <c r="BD34" s="6" t="s">
        <v>944</v>
      </c>
    </row>
    <row r="35" spans="1:56" ht="12.75">
      <c r="A35" s="7" t="s">
        <v>579</v>
      </c>
      <c r="B35" s="6" t="s">
        <v>909</v>
      </c>
      <c r="C35" s="6" t="s">
        <v>945</v>
      </c>
      <c r="D35" s="6" t="s">
        <v>914</v>
      </c>
      <c r="E35" s="6" t="s">
        <v>946</v>
      </c>
      <c r="F35" s="6" t="s">
        <v>914</v>
      </c>
      <c r="G35" s="6" t="s">
        <v>947</v>
      </c>
      <c r="H35" s="6" t="s">
        <v>909</v>
      </c>
      <c r="I35" s="6" t="s">
        <v>948</v>
      </c>
      <c r="J35" s="6" t="s">
        <v>909</v>
      </c>
      <c r="K35" s="6" t="s">
        <v>949</v>
      </c>
      <c r="L35" s="6" t="s">
        <v>914</v>
      </c>
      <c r="M35" s="6" t="s">
        <v>950</v>
      </c>
      <c r="N35" s="6" t="s">
        <v>909</v>
      </c>
      <c r="O35" s="6" t="s">
        <v>951</v>
      </c>
      <c r="P35" s="6" t="s">
        <v>911</v>
      </c>
      <c r="Q35" s="6" t="s">
        <v>952</v>
      </c>
      <c r="R35" s="6" t="s">
        <v>914</v>
      </c>
      <c r="S35" s="6" t="s">
        <v>953</v>
      </c>
      <c r="T35" s="6" t="s">
        <v>954</v>
      </c>
      <c r="U35" s="6" t="s">
        <v>955</v>
      </c>
      <c r="V35" s="6" t="s">
        <v>914</v>
      </c>
      <c r="W35" s="6" t="s">
        <v>956</v>
      </c>
      <c r="X35" s="6" t="s">
        <v>957</v>
      </c>
      <c r="Y35" s="6" t="s">
        <v>958</v>
      </c>
      <c r="Z35" s="6" t="s">
        <v>959</v>
      </c>
      <c r="AA35" s="6" t="s">
        <v>960</v>
      </c>
      <c r="AB35" s="6" t="s">
        <v>961</v>
      </c>
      <c r="AC35" s="6" t="s">
        <v>962</v>
      </c>
      <c r="AD35" s="6" t="s">
        <v>963</v>
      </c>
      <c r="AE35" s="6" t="s">
        <v>964</v>
      </c>
      <c r="AF35" s="6" t="s">
        <v>954</v>
      </c>
      <c r="AG35" s="6" t="s">
        <v>965</v>
      </c>
      <c r="AH35" s="6" t="s">
        <v>954</v>
      </c>
      <c r="AI35" s="6" t="s">
        <v>966</v>
      </c>
      <c r="AJ35" s="6" t="s">
        <v>954</v>
      </c>
      <c r="AK35" s="6" t="s">
        <v>967</v>
      </c>
      <c r="AL35" s="6" t="s">
        <v>968</v>
      </c>
      <c r="AM35" s="6" t="s">
        <v>969</v>
      </c>
      <c r="AN35" s="6" t="s">
        <v>968</v>
      </c>
      <c r="AO35" s="6" t="s">
        <v>970</v>
      </c>
      <c r="AP35" s="6" t="s">
        <v>968</v>
      </c>
      <c r="AQ35" s="6" t="s">
        <v>971</v>
      </c>
      <c r="AR35" s="6"/>
      <c r="AS35" s="6" t="s">
        <v>972</v>
      </c>
      <c r="AT35" s="6" t="s">
        <v>973</v>
      </c>
      <c r="AU35" s="6" t="s">
        <v>972</v>
      </c>
      <c r="AV35" s="6" t="s">
        <v>974</v>
      </c>
      <c r="AW35" s="6" t="s">
        <v>972</v>
      </c>
      <c r="AX35" s="6" t="s">
        <v>975</v>
      </c>
      <c r="AY35" s="6" t="s">
        <v>914</v>
      </c>
      <c r="AZ35" s="6" t="s">
        <v>976</v>
      </c>
      <c r="BA35" s="6" t="s">
        <v>914</v>
      </c>
      <c r="BB35" s="6" t="s">
        <v>977</v>
      </c>
      <c r="BC35" s="6" t="s">
        <v>914</v>
      </c>
      <c r="BD35" s="6" t="s">
        <v>978</v>
      </c>
    </row>
    <row r="36" spans="1:56" ht="12.75">
      <c r="A36" s="7" t="s">
        <v>770</v>
      </c>
      <c r="B36" s="6" t="s">
        <v>979</v>
      </c>
      <c r="C36" s="6" t="s">
        <v>980</v>
      </c>
      <c r="D36" s="6" t="s">
        <v>979</v>
      </c>
      <c r="E36" s="6" t="s">
        <v>981</v>
      </c>
      <c r="F36" s="6" t="s">
        <v>982</v>
      </c>
      <c r="G36" s="6" t="s">
        <v>983</v>
      </c>
      <c r="H36" s="6" t="s">
        <v>979</v>
      </c>
      <c r="I36" s="6" t="s">
        <v>984</v>
      </c>
      <c r="J36" s="6" t="s">
        <v>985</v>
      </c>
      <c r="K36" s="6" t="s">
        <v>986</v>
      </c>
      <c r="L36" s="6" t="s">
        <v>985</v>
      </c>
      <c r="M36" s="6" t="s">
        <v>987</v>
      </c>
      <c r="N36" s="6" t="s">
        <v>979</v>
      </c>
      <c r="O36" s="6" t="s">
        <v>988</v>
      </c>
      <c r="P36" s="6" t="s">
        <v>985</v>
      </c>
      <c r="Q36" s="6" t="s">
        <v>989</v>
      </c>
      <c r="R36" s="6" t="s">
        <v>985</v>
      </c>
      <c r="S36" s="6" t="s">
        <v>990</v>
      </c>
      <c r="T36" s="6" t="s">
        <v>985</v>
      </c>
      <c r="U36" s="6" t="s">
        <v>991</v>
      </c>
      <c r="V36" s="6" t="s">
        <v>979</v>
      </c>
      <c r="W36" s="6" t="s">
        <v>992</v>
      </c>
      <c r="X36" s="6" t="s">
        <v>979</v>
      </c>
      <c r="Y36" s="6" t="s">
        <v>993</v>
      </c>
      <c r="Z36" s="6" t="s">
        <v>994</v>
      </c>
      <c r="AA36" s="6" t="s">
        <v>995</v>
      </c>
      <c r="AB36" s="6" t="s">
        <v>996</v>
      </c>
      <c r="AC36" s="6" t="s">
        <v>997</v>
      </c>
      <c r="AD36" s="6" t="s">
        <v>998</v>
      </c>
      <c r="AE36" s="6" t="s">
        <v>999</v>
      </c>
      <c r="AF36" s="6" t="s">
        <v>1000</v>
      </c>
      <c r="AG36" s="6" t="s">
        <v>1001</v>
      </c>
      <c r="AH36" s="6" t="s">
        <v>1000</v>
      </c>
      <c r="AI36" s="6" t="s">
        <v>1002</v>
      </c>
      <c r="AJ36" s="6" t="s">
        <v>1000</v>
      </c>
      <c r="AK36" s="6" t="s">
        <v>1003</v>
      </c>
      <c r="AL36" s="6" t="s">
        <v>1004</v>
      </c>
      <c r="AM36" s="6" t="s">
        <v>1005</v>
      </c>
      <c r="AN36" s="6" t="s">
        <v>1004</v>
      </c>
      <c r="AO36" s="6" t="s">
        <v>1006</v>
      </c>
      <c r="AP36" s="6" t="s">
        <v>1004</v>
      </c>
      <c r="AQ36" s="6" t="s">
        <v>1007</v>
      </c>
      <c r="AR36" s="6"/>
      <c r="AS36" s="6" t="s">
        <v>1008</v>
      </c>
      <c r="AT36" s="6" t="s">
        <v>1009</v>
      </c>
      <c r="AU36" s="6" t="s">
        <v>1008</v>
      </c>
      <c r="AV36" s="6" t="s">
        <v>1010</v>
      </c>
      <c r="AW36" s="6" t="s">
        <v>1008</v>
      </c>
      <c r="AX36" s="6" t="s">
        <v>1011</v>
      </c>
      <c r="AY36" s="6" t="s">
        <v>985</v>
      </c>
      <c r="AZ36" s="6" t="s">
        <v>1012</v>
      </c>
      <c r="BA36" s="6" t="s">
        <v>985</v>
      </c>
      <c r="BB36" s="6" t="s">
        <v>1013</v>
      </c>
      <c r="BC36" s="6" t="s">
        <v>985</v>
      </c>
      <c r="BD36" s="6" t="s">
        <v>1014</v>
      </c>
    </row>
    <row r="37" spans="1:56" ht="12.75">
      <c r="A37" s="7" t="s">
        <v>776</v>
      </c>
      <c r="B37" s="6" t="s">
        <v>1015</v>
      </c>
      <c r="C37" s="6" t="s">
        <v>1016</v>
      </c>
      <c r="D37" s="6" t="s">
        <v>856</v>
      </c>
      <c r="E37" s="6" t="s">
        <v>1017</v>
      </c>
      <c r="F37" s="6" t="s">
        <v>856</v>
      </c>
      <c r="G37" s="6" t="s">
        <v>1018</v>
      </c>
      <c r="H37" s="6" t="s">
        <v>1015</v>
      </c>
      <c r="I37" s="6" t="s">
        <v>1019</v>
      </c>
      <c r="J37" s="6" t="s">
        <v>1015</v>
      </c>
      <c r="K37" s="6" t="s">
        <v>1020</v>
      </c>
      <c r="L37" s="6" t="s">
        <v>1021</v>
      </c>
      <c r="M37" s="6" t="s">
        <v>1022</v>
      </c>
      <c r="N37" s="6" t="s">
        <v>1021</v>
      </c>
      <c r="O37" s="6" t="s">
        <v>1023</v>
      </c>
      <c r="P37" s="6" t="s">
        <v>1015</v>
      </c>
      <c r="Q37" s="6" t="s">
        <v>1024</v>
      </c>
      <c r="R37" s="6" t="s">
        <v>1021</v>
      </c>
      <c r="S37" s="6" t="s">
        <v>1025</v>
      </c>
      <c r="T37" s="6" t="s">
        <v>1026</v>
      </c>
      <c r="U37" s="6" t="s">
        <v>1027</v>
      </c>
      <c r="V37" s="6" t="s">
        <v>1021</v>
      </c>
      <c r="W37" s="6" t="s">
        <v>1028</v>
      </c>
      <c r="X37" s="6" t="s">
        <v>1029</v>
      </c>
      <c r="Y37" s="6" t="s">
        <v>1030</v>
      </c>
      <c r="Z37" s="6" t="s">
        <v>1031</v>
      </c>
      <c r="AA37" s="6" t="s">
        <v>1032</v>
      </c>
      <c r="AB37" s="6" t="s">
        <v>1033</v>
      </c>
      <c r="AC37" s="6" t="s">
        <v>1034</v>
      </c>
      <c r="AD37" s="6" t="s">
        <v>1035</v>
      </c>
      <c r="AE37" s="6" t="s">
        <v>1036</v>
      </c>
      <c r="AF37" s="6" t="s">
        <v>1037</v>
      </c>
      <c r="AG37" s="6" t="s">
        <v>1038</v>
      </c>
      <c r="AH37" s="6" t="s">
        <v>1037</v>
      </c>
      <c r="AI37" s="6" t="s">
        <v>1039</v>
      </c>
      <c r="AJ37" s="6" t="s">
        <v>1037</v>
      </c>
      <c r="AK37" s="6" t="s">
        <v>1040</v>
      </c>
      <c r="AL37" s="6" t="s">
        <v>1041</v>
      </c>
      <c r="AM37" s="6" t="s">
        <v>1042</v>
      </c>
      <c r="AN37" s="6" t="s">
        <v>1041</v>
      </c>
      <c r="AO37" s="6" t="s">
        <v>1043</v>
      </c>
      <c r="AP37" s="6" t="s">
        <v>1041</v>
      </c>
      <c r="AQ37" s="6" t="s">
        <v>1044</v>
      </c>
      <c r="AR37" s="6"/>
      <c r="AS37" s="6" t="s">
        <v>1037</v>
      </c>
      <c r="AT37" s="6" t="s">
        <v>1045</v>
      </c>
      <c r="AU37" s="6" t="s">
        <v>1037</v>
      </c>
      <c r="AV37" s="6" t="s">
        <v>1046</v>
      </c>
      <c r="AW37" s="6" t="s">
        <v>1037</v>
      </c>
      <c r="AX37" s="6" t="s">
        <v>1047</v>
      </c>
      <c r="AY37" s="6" t="s">
        <v>856</v>
      </c>
      <c r="AZ37" s="6" t="s">
        <v>1048</v>
      </c>
      <c r="BA37" s="6" t="s">
        <v>856</v>
      </c>
      <c r="BB37" s="6" t="s">
        <v>1049</v>
      </c>
      <c r="BC37" s="6" t="s">
        <v>856</v>
      </c>
      <c r="BD37" s="6" t="s">
        <v>1050</v>
      </c>
    </row>
    <row r="38" spans="1:56" ht="12.75">
      <c r="A38" s="7" t="s">
        <v>781</v>
      </c>
      <c r="B38" s="6" t="s">
        <v>1051</v>
      </c>
      <c r="C38" s="6" t="s">
        <v>1052</v>
      </c>
      <c r="D38" s="6" t="s">
        <v>1051</v>
      </c>
      <c r="E38" s="6" t="s">
        <v>1053</v>
      </c>
      <c r="F38" s="6" t="s">
        <v>1054</v>
      </c>
      <c r="G38" s="6" t="s">
        <v>1055</v>
      </c>
      <c r="H38" s="6" t="s">
        <v>1056</v>
      </c>
      <c r="I38" s="6" t="s">
        <v>1057</v>
      </c>
      <c r="J38" s="6" t="s">
        <v>1056</v>
      </c>
      <c r="K38" s="6" t="s">
        <v>1058</v>
      </c>
      <c r="L38" s="6" t="s">
        <v>1056</v>
      </c>
      <c r="M38" s="6" t="s">
        <v>1059</v>
      </c>
      <c r="N38" s="6" t="s">
        <v>1056</v>
      </c>
      <c r="O38" s="6" t="s">
        <v>1060</v>
      </c>
      <c r="P38" s="6" t="s">
        <v>1056</v>
      </c>
      <c r="Q38" s="6" t="s">
        <v>1061</v>
      </c>
      <c r="R38" s="6" t="s">
        <v>1062</v>
      </c>
      <c r="S38" s="6" t="s">
        <v>1063</v>
      </c>
      <c r="T38" s="6" t="s">
        <v>1062</v>
      </c>
      <c r="U38" s="6" t="s">
        <v>1064</v>
      </c>
      <c r="V38" s="6" t="s">
        <v>1065</v>
      </c>
      <c r="W38" s="6" t="s">
        <v>1066</v>
      </c>
      <c r="X38" s="6" t="s">
        <v>1067</v>
      </c>
      <c r="Y38" s="6" t="s">
        <v>1068</v>
      </c>
      <c r="Z38" s="6" t="s">
        <v>1069</v>
      </c>
      <c r="AA38" s="6" t="s">
        <v>1070</v>
      </c>
      <c r="AB38" s="6" t="s">
        <v>1071</v>
      </c>
      <c r="AC38" s="6" t="s">
        <v>1072</v>
      </c>
      <c r="AD38" s="6" t="s">
        <v>1073</v>
      </c>
      <c r="AE38" s="6" t="s">
        <v>1074</v>
      </c>
      <c r="AF38" s="6" t="s">
        <v>1075</v>
      </c>
      <c r="AG38" s="6" t="s">
        <v>1076</v>
      </c>
      <c r="AH38" s="6" t="s">
        <v>1075</v>
      </c>
      <c r="AI38" s="6" t="s">
        <v>1077</v>
      </c>
      <c r="AJ38" s="6" t="s">
        <v>1075</v>
      </c>
      <c r="AK38" s="6" t="s">
        <v>1078</v>
      </c>
      <c r="AL38" s="6" t="s">
        <v>1079</v>
      </c>
      <c r="AM38" s="6" t="s">
        <v>1080</v>
      </c>
      <c r="AN38" s="6" t="s">
        <v>1079</v>
      </c>
      <c r="AO38" s="6" t="s">
        <v>1081</v>
      </c>
      <c r="AP38" s="6" t="s">
        <v>1079</v>
      </c>
      <c r="AQ38" s="6" t="s">
        <v>1082</v>
      </c>
      <c r="AR38" s="6"/>
      <c r="AS38" s="6" t="s">
        <v>1065</v>
      </c>
      <c r="AT38" s="6" t="s">
        <v>1083</v>
      </c>
      <c r="AU38" s="6" t="s">
        <v>1065</v>
      </c>
      <c r="AV38" s="6" t="s">
        <v>1084</v>
      </c>
      <c r="AW38" s="6" t="s">
        <v>1065</v>
      </c>
      <c r="AX38" s="6" t="s">
        <v>1085</v>
      </c>
      <c r="AY38" s="6" t="s">
        <v>1062</v>
      </c>
      <c r="AZ38" s="6" t="s">
        <v>1086</v>
      </c>
      <c r="BA38" s="6" t="s">
        <v>1062</v>
      </c>
      <c r="BB38" s="6" t="s">
        <v>1087</v>
      </c>
      <c r="BC38" s="6" t="s">
        <v>1062</v>
      </c>
      <c r="BD38" s="6" t="s">
        <v>1088</v>
      </c>
    </row>
    <row r="39" spans="1:56" ht="12.75">
      <c r="A39" s="7" t="s">
        <v>612</v>
      </c>
      <c r="B39" s="6" t="s">
        <v>1089</v>
      </c>
      <c r="C39" s="6" t="s">
        <v>1090</v>
      </c>
      <c r="D39" s="6" t="s">
        <v>1089</v>
      </c>
      <c r="E39" s="6" t="s">
        <v>1091</v>
      </c>
      <c r="F39" s="6" t="s">
        <v>1089</v>
      </c>
      <c r="G39" s="6" t="s">
        <v>1092</v>
      </c>
      <c r="H39" s="6" t="s">
        <v>1089</v>
      </c>
      <c r="I39" s="6" t="s">
        <v>1093</v>
      </c>
      <c r="J39" s="6" t="s">
        <v>1094</v>
      </c>
      <c r="K39" s="6" t="s">
        <v>1095</v>
      </c>
      <c r="L39" s="6" t="s">
        <v>1094</v>
      </c>
      <c r="M39" s="6" t="s">
        <v>1096</v>
      </c>
      <c r="N39" s="6" t="s">
        <v>1089</v>
      </c>
      <c r="O39" s="6" t="s">
        <v>1097</v>
      </c>
      <c r="P39" s="6" t="s">
        <v>1094</v>
      </c>
      <c r="Q39" s="6" t="s">
        <v>1098</v>
      </c>
      <c r="R39" s="6" t="s">
        <v>1094</v>
      </c>
      <c r="S39" s="6" t="s">
        <v>1099</v>
      </c>
      <c r="T39" s="6" t="s">
        <v>1100</v>
      </c>
      <c r="U39" s="6" t="s">
        <v>1101</v>
      </c>
      <c r="V39" s="6" t="s">
        <v>1089</v>
      </c>
      <c r="W39" s="6" t="s">
        <v>1102</v>
      </c>
      <c r="X39" s="6" t="s">
        <v>1103</v>
      </c>
      <c r="Y39" s="6" t="s">
        <v>1104</v>
      </c>
      <c r="Z39" s="6" t="s">
        <v>1105</v>
      </c>
      <c r="AA39" s="6" t="s">
        <v>1106</v>
      </c>
      <c r="AB39" s="6" t="s">
        <v>1107</v>
      </c>
      <c r="AC39" s="6" t="s">
        <v>1108</v>
      </c>
      <c r="AD39" s="6" t="s">
        <v>1109</v>
      </c>
      <c r="AE39" s="6" t="s">
        <v>1110</v>
      </c>
      <c r="AF39" s="6" t="s">
        <v>1021</v>
      </c>
      <c r="AG39" s="6" t="s">
        <v>1111</v>
      </c>
      <c r="AH39" s="6" t="s">
        <v>1021</v>
      </c>
      <c r="AI39" s="6" t="s">
        <v>1112</v>
      </c>
      <c r="AJ39" s="6" t="s">
        <v>1021</v>
      </c>
      <c r="AK39" s="6" t="s">
        <v>1113</v>
      </c>
      <c r="AL39" s="6" t="s">
        <v>1114</v>
      </c>
      <c r="AM39" s="6" t="s">
        <v>1115</v>
      </c>
      <c r="AN39" s="6" t="s">
        <v>1114</v>
      </c>
      <c r="AO39" s="6" t="s">
        <v>1116</v>
      </c>
      <c r="AP39" s="6" t="s">
        <v>1114</v>
      </c>
      <c r="AQ39" s="6" t="s">
        <v>1117</v>
      </c>
      <c r="AR39" s="6"/>
      <c r="AS39" s="6" t="s">
        <v>1026</v>
      </c>
      <c r="AT39" s="6" t="s">
        <v>1118</v>
      </c>
      <c r="AU39" s="6" t="s">
        <v>1026</v>
      </c>
      <c r="AV39" s="6" t="s">
        <v>1119</v>
      </c>
      <c r="AW39" s="6" t="s">
        <v>1026</v>
      </c>
      <c r="AX39" s="6" t="s">
        <v>1120</v>
      </c>
      <c r="AY39" s="6" t="s">
        <v>1089</v>
      </c>
      <c r="AZ39" s="6" t="s">
        <v>1121</v>
      </c>
      <c r="BA39" s="6" t="s">
        <v>1089</v>
      </c>
      <c r="BB39" s="6" t="s">
        <v>1122</v>
      </c>
      <c r="BC39" s="6" t="s">
        <v>1089</v>
      </c>
      <c r="BD39" s="6" t="s">
        <v>1123</v>
      </c>
    </row>
    <row r="40" spans="1:56" ht="12.75">
      <c r="A40" s="7" t="s">
        <v>608</v>
      </c>
      <c r="B40" s="6" t="s">
        <v>1124</v>
      </c>
      <c r="C40" s="6" t="s">
        <v>1125</v>
      </c>
      <c r="D40" s="6" t="s">
        <v>1126</v>
      </c>
      <c r="E40" s="6" t="s">
        <v>1127</v>
      </c>
      <c r="F40" s="6" t="s">
        <v>1124</v>
      </c>
      <c r="G40" s="6" t="s">
        <v>1128</v>
      </c>
      <c r="H40" s="6" t="s">
        <v>15</v>
      </c>
      <c r="I40" s="6" t="s">
        <v>15</v>
      </c>
      <c r="J40" s="6" t="s">
        <v>15</v>
      </c>
      <c r="K40" s="6" t="s">
        <v>15</v>
      </c>
      <c r="L40" s="6" t="s">
        <v>15</v>
      </c>
      <c r="M40" s="6" t="s">
        <v>15</v>
      </c>
      <c r="N40" s="6" t="s">
        <v>15</v>
      </c>
      <c r="O40" s="6" t="s">
        <v>15</v>
      </c>
      <c r="P40" s="6" t="s">
        <v>15</v>
      </c>
      <c r="Q40" s="6" t="s">
        <v>15</v>
      </c>
      <c r="R40" s="6" t="s">
        <v>15</v>
      </c>
      <c r="S40" s="6" t="s">
        <v>15</v>
      </c>
      <c r="T40" s="6" t="s">
        <v>1129</v>
      </c>
      <c r="U40" s="6" t="s">
        <v>1130</v>
      </c>
      <c r="V40" s="6" t="s">
        <v>1129</v>
      </c>
      <c r="W40" s="6" t="s">
        <v>1131</v>
      </c>
      <c r="X40" s="6" t="s">
        <v>1132</v>
      </c>
      <c r="Y40" s="6" t="s">
        <v>1133</v>
      </c>
      <c r="Z40" s="6" t="s">
        <v>1134</v>
      </c>
      <c r="AA40" s="6" t="s">
        <v>1135</v>
      </c>
      <c r="AB40" s="6" t="s">
        <v>1136</v>
      </c>
      <c r="AC40" s="6" t="s">
        <v>1137</v>
      </c>
      <c r="AD40" s="6" t="s">
        <v>1138</v>
      </c>
      <c r="AE40" s="6" t="s">
        <v>1139</v>
      </c>
      <c r="AF40" s="6" t="s">
        <v>15</v>
      </c>
      <c r="AG40" s="6" t="s">
        <v>15</v>
      </c>
      <c r="AH40" s="6" t="s">
        <v>15</v>
      </c>
      <c r="AI40" s="6" t="s">
        <v>15</v>
      </c>
      <c r="AJ40" s="6" t="s">
        <v>15</v>
      </c>
      <c r="AK40" s="6" t="s">
        <v>15</v>
      </c>
      <c r="AL40" s="6" t="s">
        <v>889</v>
      </c>
      <c r="AM40" s="6" t="s">
        <v>1140</v>
      </c>
      <c r="AN40" s="6" t="s">
        <v>889</v>
      </c>
      <c r="AO40" s="6" t="s">
        <v>1141</v>
      </c>
      <c r="AP40" s="6" t="s">
        <v>889</v>
      </c>
      <c r="AQ40" s="6" t="s">
        <v>1142</v>
      </c>
      <c r="AR40" s="6"/>
      <c r="AS40" s="6" t="s">
        <v>1056</v>
      </c>
      <c r="AT40" s="6" t="s">
        <v>1143</v>
      </c>
      <c r="AU40" s="6" t="s">
        <v>1056</v>
      </c>
      <c r="AV40" s="6" t="s">
        <v>1144</v>
      </c>
      <c r="AW40" s="6" t="s">
        <v>1056</v>
      </c>
      <c r="AX40" s="6" t="s">
        <v>1145</v>
      </c>
      <c r="AY40" s="6" t="s">
        <v>15</v>
      </c>
      <c r="AZ40" s="6" t="s">
        <v>15</v>
      </c>
      <c r="BA40" s="6" t="s">
        <v>15</v>
      </c>
      <c r="BB40" s="6" t="s">
        <v>15</v>
      </c>
      <c r="BC40" s="6" t="s">
        <v>15</v>
      </c>
      <c r="BD40" s="6" t="s">
        <v>15</v>
      </c>
    </row>
    <row r="41" spans="1:56" ht="12.75">
      <c r="A41" s="7" t="s">
        <v>610</v>
      </c>
      <c r="B41" s="6" t="s">
        <v>1146</v>
      </c>
      <c r="C41" s="6" t="s">
        <v>1147</v>
      </c>
      <c r="D41" s="6" t="s">
        <v>1129</v>
      </c>
      <c r="E41" s="6" t="s">
        <v>1148</v>
      </c>
      <c r="F41" s="6" t="s">
        <v>1146</v>
      </c>
      <c r="G41" s="6" t="s">
        <v>1149</v>
      </c>
      <c r="H41" s="6" t="s">
        <v>15</v>
      </c>
      <c r="I41" s="6" t="s">
        <v>15</v>
      </c>
      <c r="J41" s="6" t="s">
        <v>15</v>
      </c>
      <c r="K41" s="6" t="s">
        <v>15</v>
      </c>
      <c r="L41" s="6" t="s">
        <v>15</v>
      </c>
      <c r="M41" s="6" t="s">
        <v>15</v>
      </c>
      <c r="N41" s="6" t="s">
        <v>15</v>
      </c>
      <c r="O41" s="6" t="s">
        <v>15</v>
      </c>
      <c r="P41" s="6" t="s">
        <v>15</v>
      </c>
      <c r="Q41" s="6" t="s">
        <v>15</v>
      </c>
      <c r="R41" s="6" t="s">
        <v>15</v>
      </c>
      <c r="S41" s="6" t="s">
        <v>15</v>
      </c>
      <c r="T41" s="6" t="s">
        <v>1150</v>
      </c>
      <c r="U41" s="6" t="s">
        <v>1151</v>
      </c>
      <c r="V41" s="6" t="s">
        <v>1150</v>
      </c>
      <c r="W41" s="6" t="s">
        <v>1152</v>
      </c>
      <c r="X41" s="6" t="s">
        <v>1124</v>
      </c>
      <c r="Y41" s="6" t="s">
        <v>1153</v>
      </c>
      <c r="Z41" s="6" t="s">
        <v>1154</v>
      </c>
      <c r="AA41" s="6" t="s">
        <v>1155</v>
      </c>
      <c r="AB41" s="6" t="s">
        <v>1156</v>
      </c>
      <c r="AC41" s="6" t="s">
        <v>1157</v>
      </c>
      <c r="AD41" s="6" t="s">
        <v>1158</v>
      </c>
      <c r="AE41" s="6" t="s">
        <v>1159</v>
      </c>
      <c r="AF41" s="6" t="s">
        <v>15</v>
      </c>
      <c r="AG41" s="6" t="s">
        <v>15</v>
      </c>
      <c r="AH41" s="6" t="s">
        <v>15</v>
      </c>
      <c r="AI41" s="6" t="s">
        <v>15</v>
      </c>
      <c r="AJ41" s="6" t="s">
        <v>15</v>
      </c>
      <c r="AK41" s="6" t="s">
        <v>15</v>
      </c>
      <c r="AL41" s="10" t="s">
        <v>1160</v>
      </c>
      <c r="AM41" s="10" t="s">
        <v>1161</v>
      </c>
      <c r="AN41" s="10" t="s">
        <v>1160</v>
      </c>
      <c r="AO41" s="10" t="s">
        <v>1162</v>
      </c>
      <c r="AP41" s="10" t="s">
        <v>1160</v>
      </c>
      <c r="AQ41" s="10" t="s">
        <v>1163</v>
      </c>
      <c r="AR41" s="10"/>
      <c r="AS41" s="10" t="s">
        <v>1054</v>
      </c>
      <c r="AT41" s="10" t="s">
        <v>1164</v>
      </c>
      <c r="AU41" s="10" t="s">
        <v>1054</v>
      </c>
      <c r="AV41" s="10" t="s">
        <v>1165</v>
      </c>
      <c r="AW41" s="10" t="s">
        <v>1054</v>
      </c>
      <c r="AX41" s="10" t="s">
        <v>1166</v>
      </c>
      <c r="AY41" s="6" t="s">
        <v>15</v>
      </c>
      <c r="AZ41" s="6" t="s">
        <v>15</v>
      </c>
      <c r="BA41" s="6" t="s">
        <v>15</v>
      </c>
      <c r="BB41" s="6" t="s">
        <v>15</v>
      </c>
      <c r="BC41" s="6" t="s">
        <v>15</v>
      </c>
      <c r="BD41" s="6" t="s">
        <v>15</v>
      </c>
    </row>
    <row r="42" spans="1:56" ht="12.75">
      <c r="A42" s="11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</row>
    <row r="43" spans="1:56" ht="12.75">
      <c r="A43" s="7" t="s">
        <v>29</v>
      </c>
      <c r="H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</row>
    <row r="44" spans="1:56" ht="12.75">
      <c r="A44" s="7" t="s">
        <v>58</v>
      </c>
      <c r="H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</row>
    <row r="45" spans="1:56" ht="12.75">
      <c r="A45" s="7" t="s">
        <v>59</v>
      </c>
      <c r="H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</row>
    <row r="46" spans="1:56" ht="12.75">
      <c r="A46" s="7" t="s">
        <v>69</v>
      </c>
      <c r="H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</row>
    <row r="47" spans="1:56" ht="12.75">
      <c r="A47" s="7" t="s">
        <v>30</v>
      </c>
      <c r="H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</row>
    <row r="48" spans="1:56" ht="12.75">
      <c r="A48" s="7" t="s">
        <v>159</v>
      </c>
      <c r="H48" s="12"/>
      <c r="N48" s="22" t="s">
        <v>25</v>
      </c>
      <c r="O48" s="20"/>
      <c r="P48" s="22" t="s">
        <v>26</v>
      </c>
      <c r="Q48" s="20"/>
      <c r="R48" s="22" t="s">
        <v>27</v>
      </c>
      <c r="S48" s="20"/>
      <c r="T48" s="12"/>
      <c r="U48" s="12"/>
      <c r="V48" s="12"/>
      <c r="W48" s="12"/>
      <c r="X48" s="12"/>
      <c r="Y48" s="12"/>
      <c r="AD48" s="24" t="s">
        <v>1167</v>
      </c>
      <c r="AE48" s="25"/>
      <c r="AF48" s="25"/>
      <c r="AG48" s="20"/>
      <c r="AH48" s="26" t="s">
        <v>1168</v>
      </c>
      <c r="AI48" s="25"/>
      <c r="AJ48" s="25"/>
      <c r="AK48" s="20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</row>
    <row r="49" spans="1:56" ht="12.75">
      <c r="A49" s="7" t="s">
        <v>196</v>
      </c>
      <c r="H49" s="12"/>
      <c r="N49" s="8" t="s">
        <v>2</v>
      </c>
      <c r="O49" s="8" t="s">
        <v>14</v>
      </c>
      <c r="P49" s="8" t="s">
        <v>2</v>
      </c>
      <c r="Q49" s="8" t="s">
        <v>14</v>
      </c>
      <c r="R49" s="8" t="s">
        <v>2</v>
      </c>
      <c r="S49" s="8" t="s">
        <v>14</v>
      </c>
      <c r="T49" s="12"/>
      <c r="U49" s="12"/>
      <c r="V49" s="12"/>
      <c r="W49" s="12"/>
      <c r="X49" s="12"/>
      <c r="Y49" s="12"/>
      <c r="AD49" s="13" t="s">
        <v>1169</v>
      </c>
      <c r="AE49" s="13" t="s">
        <v>1170</v>
      </c>
      <c r="AF49" s="7" t="s">
        <v>1171</v>
      </c>
      <c r="AG49" s="7" t="s">
        <v>1172</v>
      </c>
      <c r="AH49" s="13" t="s">
        <v>1169</v>
      </c>
      <c r="AI49" s="13" t="s">
        <v>1170</v>
      </c>
      <c r="AJ49" s="7" t="s">
        <v>1171</v>
      </c>
      <c r="AK49" s="7" t="s">
        <v>1172</v>
      </c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</row>
    <row r="50" spans="1:56" ht="12.75">
      <c r="A50" s="7" t="s">
        <v>209</v>
      </c>
      <c r="H50" s="12"/>
      <c r="N50" s="14">
        <v>5</v>
      </c>
      <c r="O50" s="14">
        <v>7025.317</v>
      </c>
      <c r="P50" s="14">
        <v>5</v>
      </c>
      <c r="Q50" s="14">
        <v>6331.7380000000003</v>
      </c>
      <c r="R50" s="15">
        <v>5</v>
      </c>
      <c r="S50" s="14">
        <v>7315.5119999999997</v>
      </c>
      <c r="U50" s="5">
        <v>5</v>
      </c>
      <c r="V50" s="16">
        <v>179.79640000000001</v>
      </c>
      <c r="W50" s="14">
        <v>5</v>
      </c>
      <c r="X50" s="17">
        <f t="shared" ref="X50:X87" si="0">E4/100000</f>
        <v>1.5507190000000001E-6</v>
      </c>
      <c r="Y50" s="14">
        <v>5</v>
      </c>
      <c r="Z50" s="16">
        <f t="shared" ref="Z50:Z87" si="1">G4/100000</f>
        <v>1.421811E-6</v>
      </c>
      <c r="AD50" s="17">
        <f t="shared" ref="AD50:AD87" si="2">MIN(U50,W50,Y50)</f>
        <v>5</v>
      </c>
      <c r="AE50" s="18">
        <f t="shared" ref="AE50:AE87" si="3">MAX(U50,W50,Y50)</f>
        <v>5</v>
      </c>
      <c r="AF50" s="17">
        <f t="shared" ref="AF50:AF87" si="4">ROUND(SUM(U50,W50,Y50)/3,2)</f>
        <v>5</v>
      </c>
      <c r="AG50" s="18">
        <f t="shared" ref="AG50:AG87" si="5">ROUND(SUM(V50,X50,Z50)/3,5)</f>
        <v>59.932130000000001</v>
      </c>
      <c r="AH50" s="6">
        <f t="shared" ref="AH50:AH87" si="6">MIN(N50,P50,R50)</f>
        <v>5</v>
      </c>
      <c r="AI50" s="6">
        <f t="shared" ref="AI50:AI87" si="7">MAX(N50,P50,R50)</f>
        <v>5</v>
      </c>
      <c r="AJ50" s="6">
        <f t="shared" ref="AJ50:AJ87" si="8">ROUND(SUM(N50,P50,R50)/3,2)</f>
        <v>5</v>
      </c>
      <c r="AK50" s="6">
        <f t="shared" ref="AK50:AK87" si="9">ROUND(SUM(O50,Q50,S50)/3,5)</f>
        <v>6890.8556699999999</v>
      </c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</row>
    <row r="51" spans="1:56" ht="12.75">
      <c r="A51" s="7" t="s">
        <v>252</v>
      </c>
      <c r="H51" s="12"/>
      <c r="N51" s="14">
        <v>4</v>
      </c>
      <c r="O51" s="14">
        <v>12315.294</v>
      </c>
      <c r="P51" s="14">
        <v>3</v>
      </c>
      <c r="Q51" s="14">
        <v>9435.6730000000007</v>
      </c>
      <c r="R51" s="14">
        <v>4</v>
      </c>
      <c r="S51" s="14">
        <v>12198.281000000001</v>
      </c>
      <c r="U51" s="5">
        <v>3</v>
      </c>
      <c r="V51" s="16">
        <v>145.9033</v>
      </c>
      <c r="W51" s="14">
        <v>3</v>
      </c>
      <c r="X51" s="17">
        <f t="shared" si="0"/>
        <v>1.467825E-6</v>
      </c>
      <c r="Y51" s="14">
        <v>3</v>
      </c>
      <c r="Z51" s="16">
        <f t="shared" si="1"/>
        <v>1.4945959999999999E-6</v>
      </c>
      <c r="AD51" s="17">
        <f t="shared" si="2"/>
        <v>3</v>
      </c>
      <c r="AE51" s="18">
        <f t="shared" si="3"/>
        <v>3</v>
      </c>
      <c r="AF51" s="17">
        <f t="shared" si="4"/>
        <v>3</v>
      </c>
      <c r="AG51" s="18">
        <f t="shared" si="5"/>
        <v>48.634430000000002</v>
      </c>
      <c r="AH51" s="6">
        <f t="shared" si="6"/>
        <v>3</v>
      </c>
      <c r="AI51" s="6">
        <f t="shared" si="7"/>
        <v>4</v>
      </c>
      <c r="AJ51" s="6">
        <f t="shared" si="8"/>
        <v>3.67</v>
      </c>
      <c r="AK51" s="6">
        <f t="shared" si="9"/>
        <v>11316.415999999999</v>
      </c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</row>
    <row r="52" spans="1:56" ht="12.75">
      <c r="A52" s="7" t="s">
        <v>280</v>
      </c>
      <c r="H52" s="12"/>
      <c r="N52" s="14">
        <v>4</v>
      </c>
      <c r="O52" s="14">
        <v>13089.96</v>
      </c>
      <c r="P52" s="14">
        <v>4</v>
      </c>
      <c r="Q52" s="14">
        <v>13448.459000000001</v>
      </c>
      <c r="R52" s="14">
        <v>4</v>
      </c>
      <c r="S52" s="14">
        <v>14282.097</v>
      </c>
      <c r="U52" s="5">
        <v>3</v>
      </c>
      <c r="V52" s="16">
        <v>147.79900000000001</v>
      </c>
      <c r="W52" s="14">
        <v>3</v>
      </c>
      <c r="X52" s="17">
        <f t="shared" si="0"/>
        <v>1.4503920000000001E-6</v>
      </c>
      <c r="Y52" s="14">
        <v>3</v>
      </c>
      <c r="Z52" s="16">
        <f t="shared" si="1"/>
        <v>1.4526149999999999E-6</v>
      </c>
      <c r="AD52" s="17">
        <f t="shared" si="2"/>
        <v>3</v>
      </c>
      <c r="AE52" s="18">
        <f t="shared" si="3"/>
        <v>3</v>
      </c>
      <c r="AF52" s="17">
        <f t="shared" si="4"/>
        <v>3</v>
      </c>
      <c r="AG52" s="18">
        <f t="shared" si="5"/>
        <v>49.266330000000004</v>
      </c>
      <c r="AH52" s="6">
        <f t="shared" si="6"/>
        <v>4</v>
      </c>
      <c r="AI52" s="6">
        <f t="shared" si="7"/>
        <v>4</v>
      </c>
      <c r="AJ52" s="6">
        <f t="shared" si="8"/>
        <v>4</v>
      </c>
      <c r="AK52" s="6">
        <f t="shared" si="9"/>
        <v>13606.838669999999</v>
      </c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</row>
    <row r="53" spans="1:56" ht="12.75">
      <c r="A53" s="7" t="s">
        <v>309</v>
      </c>
      <c r="H53" s="12"/>
      <c r="N53" s="14">
        <v>3</v>
      </c>
      <c r="O53" s="14">
        <v>19160.972000000002</v>
      </c>
      <c r="P53" s="14">
        <v>3</v>
      </c>
      <c r="Q53" s="14">
        <v>19089.968000000001</v>
      </c>
      <c r="R53" s="14">
        <v>3</v>
      </c>
      <c r="S53" s="14">
        <v>20103.274000000001</v>
      </c>
      <c r="U53" s="5">
        <v>3</v>
      </c>
      <c r="V53" s="16">
        <v>146.6722</v>
      </c>
      <c r="W53" s="14">
        <v>3</v>
      </c>
      <c r="X53" s="17">
        <f t="shared" si="0"/>
        <v>1.4846449999999999E-6</v>
      </c>
      <c r="Y53" s="14">
        <v>3</v>
      </c>
      <c r="Z53" s="16">
        <f t="shared" si="1"/>
        <v>1.4483280000000001E-6</v>
      </c>
      <c r="AD53" s="17">
        <f t="shared" si="2"/>
        <v>3</v>
      </c>
      <c r="AE53" s="18">
        <f t="shared" si="3"/>
        <v>3</v>
      </c>
      <c r="AF53" s="17">
        <f t="shared" si="4"/>
        <v>3</v>
      </c>
      <c r="AG53" s="18">
        <f t="shared" si="5"/>
        <v>48.890729999999998</v>
      </c>
      <c r="AH53" s="6">
        <f t="shared" si="6"/>
        <v>3</v>
      </c>
      <c r="AI53" s="6">
        <f t="shared" si="7"/>
        <v>3</v>
      </c>
      <c r="AJ53" s="6">
        <f t="shared" si="8"/>
        <v>3</v>
      </c>
      <c r="AK53" s="6">
        <f t="shared" si="9"/>
        <v>19451.40467</v>
      </c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</row>
    <row r="54" spans="1:56" ht="12.75">
      <c r="A54" s="7" t="s">
        <v>293</v>
      </c>
      <c r="H54" s="12"/>
      <c r="N54" s="14">
        <v>5</v>
      </c>
      <c r="O54" s="14">
        <v>12956.141</v>
      </c>
      <c r="P54" s="14">
        <v>5</v>
      </c>
      <c r="Q54" s="14">
        <v>14946.763000000001</v>
      </c>
      <c r="R54" s="14">
        <v>4</v>
      </c>
      <c r="S54" s="14">
        <v>13922.108</v>
      </c>
      <c r="U54" s="5">
        <v>4</v>
      </c>
      <c r="V54" s="16">
        <v>147.8229</v>
      </c>
      <c r="W54" s="14">
        <v>4</v>
      </c>
      <c r="X54" s="17">
        <f t="shared" si="0"/>
        <v>1.485263E-6</v>
      </c>
      <c r="Y54" s="14">
        <v>4</v>
      </c>
      <c r="Z54" s="16">
        <f t="shared" si="1"/>
        <v>1.475343E-6</v>
      </c>
      <c r="AD54" s="17">
        <f t="shared" si="2"/>
        <v>4</v>
      </c>
      <c r="AE54" s="18">
        <f t="shared" si="3"/>
        <v>4</v>
      </c>
      <c r="AF54" s="17">
        <f t="shared" si="4"/>
        <v>4</v>
      </c>
      <c r="AG54" s="18">
        <f t="shared" si="5"/>
        <v>49.274299999999997</v>
      </c>
      <c r="AH54" s="6">
        <f t="shared" si="6"/>
        <v>4</v>
      </c>
      <c r="AI54" s="6">
        <f t="shared" si="7"/>
        <v>5</v>
      </c>
      <c r="AJ54" s="6">
        <f t="shared" si="8"/>
        <v>4.67</v>
      </c>
      <c r="AK54" s="6">
        <f t="shared" si="9"/>
        <v>13941.67067</v>
      </c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</row>
    <row r="55" spans="1:56" ht="12.75">
      <c r="A55" s="7" t="s">
        <v>322</v>
      </c>
      <c r="H55" s="12"/>
      <c r="N55" s="14">
        <v>6</v>
      </c>
      <c r="O55" s="14">
        <v>14335.862999999999</v>
      </c>
      <c r="P55" s="14">
        <v>5</v>
      </c>
      <c r="Q55" s="14">
        <v>15436.878000000001</v>
      </c>
      <c r="R55" s="14">
        <v>6</v>
      </c>
      <c r="S55" s="14">
        <v>16408.361000000001</v>
      </c>
      <c r="U55" s="5">
        <v>4</v>
      </c>
      <c r="V55" s="16">
        <v>147.37450000000001</v>
      </c>
      <c r="W55" s="14">
        <v>4</v>
      </c>
      <c r="X55" s="17">
        <f t="shared" si="0"/>
        <v>1.4400460000000002E-6</v>
      </c>
      <c r="Y55" s="14">
        <v>4</v>
      </c>
      <c r="Z55" s="16">
        <f t="shared" si="1"/>
        <v>1.4628430000000001E-6</v>
      </c>
      <c r="AD55" s="17">
        <f t="shared" si="2"/>
        <v>4</v>
      </c>
      <c r="AE55" s="18">
        <f t="shared" si="3"/>
        <v>4</v>
      </c>
      <c r="AF55" s="17">
        <f t="shared" si="4"/>
        <v>4</v>
      </c>
      <c r="AG55" s="18">
        <f t="shared" si="5"/>
        <v>49.124830000000003</v>
      </c>
      <c r="AH55" s="6">
        <f t="shared" si="6"/>
        <v>5</v>
      </c>
      <c r="AI55" s="6">
        <f t="shared" si="7"/>
        <v>6</v>
      </c>
      <c r="AJ55" s="6">
        <f t="shared" si="8"/>
        <v>5.67</v>
      </c>
      <c r="AK55" s="6">
        <f t="shared" si="9"/>
        <v>15393.70067</v>
      </c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</row>
    <row r="56" spans="1:56" ht="12.75">
      <c r="A56" s="7" t="s">
        <v>352</v>
      </c>
      <c r="H56" s="12"/>
      <c r="N56" s="14">
        <v>7</v>
      </c>
      <c r="O56" s="14">
        <v>10785.062</v>
      </c>
      <c r="P56" s="14">
        <v>7</v>
      </c>
      <c r="Q56" s="14">
        <v>12198.223</v>
      </c>
      <c r="R56" s="14">
        <v>7</v>
      </c>
      <c r="S56" s="14">
        <v>15817.674999999999</v>
      </c>
      <c r="U56" s="5">
        <v>6</v>
      </c>
      <c r="V56" s="16">
        <v>147.55439999999999</v>
      </c>
      <c r="W56" s="14">
        <v>6</v>
      </c>
      <c r="X56" s="17">
        <f t="shared" si="0"/>
        <v>1.4689079999999998E-6</v>
      </c>
      <c r="Y56" s="14">
        <v>6</v>
      </c>
      <c r="Z56" s="16">
        <f t="shared" si="1"/>
        <v>1.507702E-6</v>
      </c>
      <c r="AD56" s="17">
        <f t="shared" si="2"/>
        <v>6</v>
      </c>
      <c r="AE56" s="18">
        <f t="shared" si="3"/>
        <v>6</v>
      </c>
      <c r="AF56" s="17">
        <f t="shared" si="4"/>
        <v>6</v>
      </c>
      <c r="AG56" s="18">
        <f t="shared" si="5"/>
        <v>49.184800000000003</v>
      </c>
      <c r="AH56" s="6">
        <f t="shared" si="6"/>
        <v>7</v>
      </c>
      <c r="AI56" s="6">
        <f t="shared" si="7"/>
        <v>7</v>
      </c>
      <c r="AJ56" s="6">
        <f t="shared" si="8"/>
        <v>7</v>
      </c>
      <c r="AK56" s="6">
        <f t="shared" si="9"/>
        <v>12933.653329999999</v>
      </c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</row>
    <row r="57" spans="1:56" ht="12.75">
      <c r="A57" s="7" t="s">
        <v>379</v>
      </c>
      <c r="H57" s="12"/>
      <c r="N57" s="14">
        <v>6</v>
      </c>
      <c r="O57" s="14">
        <v>21050.846000000001</v>
      </c>
      <c r="P57" s="14">
        <v>4</v>
      </c>
      <c r="Q57" s="14">
        <v>25175.502</v>
      </c>
      <c r="R57" s="14">
        <v>5</v>
      </c>
      <c r="S57" s="14">
        <v>21786.741000000002</v>
      </c>
      <c r="U57" s="5">
        <v>4</v>
      </c>
      <c r="V57" s="16">
        <v>147.08260000000001</v>
      </c>
      <c r="W57" s="14">
        <v>4</v>
      </c>
      <c r="X57" s="17">
        <f t="shared" si="0"/>
        <v>1.5125900000000001E-6</v>
      </c>
      <c r="Y57" s="14">
        <v>4</v>
      </c>
      <c r="Z57" s="16">
        <f t="shared" si="1"/>
        <v>1.5244050000000001E-6</v>
      </c>
      <c r="AD57" s="17">
        <f t="shared" si="2"/>
        <v>4</v>
      </c>
      <c r="AE57" s="18">
        <f t="shared" si="3"/>
        <v>4</v>
      </c>
      <c r="AF57" s="17">
        <f t="shared" si="4"/>
        <v>4</v>
      </c>
      <c r="AG57" s="18">
        <f t="shared" si="5"/>
        <v>49.027529999999999</v>
      </c>
      <c r="AH57" s="6">
        <f t="shared" si="6"/>
        <v>4</v>
      </c>
      <c r="AI57" s="6">
        <f t="shared" si="7"/>
        <v>6</v>
      </c>
      <c r="AJ57" s="6">
        <f t="shared" si="8"/>
        <v>5</v>
      </c>
      <c r="AK57" s="6">
        <f t="shared" si="9"/>
        <v>22671.02967</v>
      </c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</row>
    <row r="58" spans="1:56" ht="12.75">
      <c r="A58" s="7" t="s">
        <v>381</v>
      </c>
      <c r="H58" s="12"/>
      <c r="N58" s="14">
        <v>5</v>
      </c>
      <c r="O58" s="14">
        <v>16987.808000000001</v>
      </c>
      <c r="P58" s="14">
        <v>6</v>
      </c>
      <c r="Q58" s="14">
        <v>14406.348</v>
      </c>
      <c r="R58" s="14">
        <v>5</v>
      </c>
      <c r="S58" s="14">
        <v>12139.099</v>
      </c>
      <c r="U58" s="5">
        <v>5</v>
      </c>
      <c r="V58" s="16">
        <v>152.75470000000001</v>
      </c>
      <c r="W58" s="14">
        <v>5</v>
      </c>
      <c r="X58" s="17">
        <f t="shared" si="0"/>
        <v>1.4829550000000001E-6</v>
      </c>
      <c r="Y58" s="14">
        <v>5</v>
      </c>
      <c r="Z58" s="16">
        <f t="shared" si="1"/>
        <v>1.4761820000000001E-6</v>
      </c>
      <c r="AD58" s="17">
        <f t="shared" si="2"/>
        <v>5</v>
      </c>
      <c r="AE58" s="18">
        <f t="shared" si="3"/>
        <v>5</v>
      </c>
      <c r="AF58" s="17">
        <f t="shared" si="4"/>
        <v>5</v>
      </c>
      <c r="AG58" s="18">
        <f t="shared" si="5"/>
        <v>50.918230000000001</v>
      </c>
      <c r="AH58" s="6">
        <f t="shared" si="6"/>
        <v>5</v>
      </c>
      <c r="AI58" s="6">
        <f t="shared" si="7"/>
        <v>6</v>
      </c>
      <c r="AJ58" s="6">
        <f t="shared" si="8"/>
        <v>5.33</v>
      </c>
      <c r="AK58" s="6">
        <f t="shared" si="9"/>
        <v>14511.084999999999</v>
      </c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</row>
    <row r="59" spans="1:56" ht="12.75">
      <c r="A59" s="7" t="s">
        <v>436</v>
      </c>
      <c r="H59" s="12"/>
      <c r="N59" s="14">
        <v>8</v>
      </c>
      <c r="O59" s="14">
        <v>9377.5920000000006</v>
      </c>
      <c r="P59" s="14">
        <v>8</v>
      </c>
      <c r="Q59" s="14">
        <v>10683.857</v>
      </c>
      <c r="R59" s="14">
        <v>8</v>
      </c>
      <c r="S59" s="14">
        <v>11397.121999999999</v>
      </c>
      <c r="U59" s="5">
        <v>8</v>
      </c>
      <c r="V59" s="16">
        <v>152.18360000000001</v>
      </c>
      <c r="W59" s="14">
        <v>8</v>
      </c>
      <c r="X59" s="17">
        <f t="shared" si="0"/>
        <v>1.4841180000000002E-6</v>
      </c>
      <c r="Y59" s="14">
        <v>8</v>
      </c>
      <c r="Z59" s="16">
        <f t="shared" si="1"/>
        <v>1.507684E-6</v>
      </c>
      <c r="AD59" s="17">
        <f t="shared" si="2"/>
        <v>8</v>
      </c>
      <c r="AE59" s="18">
        <f t="shared" si="3"/>
        <v>8</v>
      </c>
      <c r="AF59" s="17">
        <f t="shared" si="4"/>
        <v>8</v>
      </c>
      <c r="AG59" s="18">
        <f t="shared" si="5"/>
        <v>50.727870000000003</v>
      </c>
      <c r="AH59" s="6">
        <f t="shared" si="6"/>
        <v>8</v>
      </c>
      <c r="AI59" s="6">
        <f t="shared" si="7"/>
        <v>8</v>
      </c>
      <c r="AJ59" s="6">
        <f t="shared" si="8"/>
        <v>8</v>
      </c>
      <c r="AK59" s="6">
        <f t="shared" si="9"/>
        <v>10486.190329999999</v>
      </c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</row>
    <row r="60" spans="1:56" ht="12.75">
      <c r="A60" s="7" t="s">
        <v>490</v>
      </c>
      <c r="H60" s="12"/>
      <c r="N60" s="14">
        <v>9</v>
      </c>
      <c r="O60" s="14">
        <v>15240.965</v>
      </c>
      <c r="P60" s="14">
        <v>10</v>
      </c>
      <c r="Q60" s="14">
        <v>16809.579000000002</v>
      </c>
      <c r="R60" s="14">
        <v>11</v>
      </c>
      <c r="S60" s="14">
        <v>13465.106</v>
      </c>
      <c r="U60" s="5">
        <v>9</v>
      </c>
      <c r="V60" s="16">
        <v>154.9923</v>
      </c>
      <c r="W60" s="14">
        <v>9</v>
      </c>
      <c r="X60" s="17">
        <f t="shared" si="0"/>
        <v>1.559652E-6</v>
      </c>
      <c r="Y60" s="14">
        <v>9</v>
      </c>
      <c r="Z60" s="16">
        <f t="shared" si="1"/>
        <v>1.5133640000000001E-6</v>
      </c>
      <c r="AD60" s="17">
        <f t="shared" si="2"/>
        <v>9</v>
      </c>
      <c r="AE60" s="18">
        <f t="shared" si="3"/>
        <v>9</v>
      </c>
      <c r="AF60" s="17">
        <f t="shared" si="4"/>
        <v>9</v>
      </c>
      <c r="AG60" s="18">
        <f t="shared" si="5"/>
        <v>51.664099999999998</v>
      </c>
      <c r="AH60" s="6">
        <f t="shared" si="6"/>
        <v>9</v>
      </c>
      <c r="AI60" s="6">
        <f t="shared" si="7"/>
        <v>11</v>
      </c>
      <c r="AJ60" s="6">
        <f t="shared" si="8"/>
        <v>10</v>
      </c>
      <c r="AK60" s="6">
        <f t="shared" si="9"/>
        <v>15171.883330000001</v>
      </c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</row>
    <row r="61" spans="1:56" ht="12.75">
      <c r="A61" s="7" t="s">
        <v>492</v>
      </c>
      <c r="H61" s="12"/>
      <c r="N61" s="14">
        <v>9</v>
      </c>
      <c r="O61" s="14">
        <v>18408.294999999998</v>
      </c>
      <c r="P61" s="14">
        <v>9</v>
      </c>
      <c r="Q61" s="14">
        <v>15308.472</v>
      </c>
      <c r="R61" s="14">
        <v>8</v>
      </c>
      <c r="S61" s="14">
        <v>13902.612999999999</v>
      </c>
      <c r="U61" s="5">
        <v>8</v>
      </c>
      <c r="V61" s="16">
        <v>153.84950000000001</v>
      </c>
      <c r="W61" s="14">
        <v>8</v>
      </c>
      <c r="X61" s="17">
        <f t="shared" si="0"/>
        <v>1.666972E-6</v>
      </c>
      <c r="Y61" s="14">
        <v>8</v>
      </c>
      <c r="Z61" s="16">
        <f t="shared" si="1"/>
        <v>1.533554E-6</v>
      </c>
      <c r="AD61" s="17">
        <f t="shared" si="2"/>
        <v>8</v>
      </c>
      <c r="AE61" s="18">
        <f t="shared" si="3"/>
        <v>8</v>
      </c>
      <c r="AF61" s="17">
        <f t="shared" si="4"/>
        <v>8</v>
      </c>
      <c r="AG61" s="18">
        <f t="shared" si="5"/>
        <v>51.283169999999998</v>
      </c>
      <c r="AH61" s="6">
        <f t="shared" si="6"/>
        <v>8</v>
      </c>
      <c r="AI61" s="6">
        <f t="shared" si="7"/>
        <v>9</v>
      </c>
      <c r="AJ61" s="6">
        <f t="shared" si="8"/>
        <v>8.67</v>
      </c>
      <c r="AK61" s="6">
        <f t="shared" si="9"/>
        <v>15873.12667</v>
      </c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</row>
    <row r="62" spans="1:56" ht="12.75">
      <c r="A62" s="7" t="s">
        <v>564</v>
      </c>
      <c r="H62" s="12"/>
      <c r="N62" s="14">
        <v>10</v>
      </c>
      <c r="O62" s="14">
        <v>21794.002</v>
      </c>
      <c r="P62" s="14">
        <v>11</v>
      </c>
      <c r="Q62" s="14">
        <v>21310.275000000001</v>
      </c>
      <c r="R62" s="14">
        <v>10</v>
      </c>
      <c r="S62" s="14">
        <v>16906.191999999999</v>
      </c>
      <c r="U62" s="5">
        <v>10</v>
      </c>
      <c r="V62" s="16">
        <v>159.78980000000001</v>
      </c>
      <c r="W62" s="14">
        <v>10</v>
      </c>
      <c r="X62" s="17">
        <f t="shared" si="0"/>
        <v>1.5371550000000001E-6</v>
      </c>
      <c r="Y62" s="14">
        <v>10</v>
      </c>
      <c r="Z62" s="16">
        <f t="shared" si="1"/>
        <v>1.4690420000000001E-6</v>
      </c>
      <c r="AD62" s="17">
        <f t="shared" si="2"/>
        <v>10</v>
      </c>
      <c r="AE62" s="18">
        <f t="shared" si="3"/>
        <v>10</v>
      </c>
      <c r="AF62" s="17">
        <f t="shared" si="4"/>
        <v>10</v>
      </c>
      <c r="AG62" s="18">
        <f t="shared" si="5"/>
        <v>53.263269999999999</v>
      </c>
      <c r="AH62" s="6">
        <f t="shared" si="6"/>
        <v>10</v>
      </c>
      <c r="AI62" s="6">
        <f t="shared" si="7"/>
        <v>11</v>
      </c>
      <c r="AJ62" s="6">
        <f t="shared" si="8"/>
        <v>10.33</v>
      </c>
      <c r="AK62" s="6">
        <f t="shared" si="9"/>
        <v>20003.489669999999</v>
      </c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</row>
    <row r="63" spans="1:56" ht="12.75">
      <c r="A63" s="7" t="s">
        <v>595</v>
      </c>
      <c r="H63" s="12"/>
      <c r="N63" s="14">
        <v>8</v>
      </c>
      <c r="O63" s="14">
        <v>27145.428</v>
      </c>
      <c r="P63" s="14">
        <v>10</v>
      </c>
      <c r="Q63" s="14">
        <v>25194.431</v>
      </c>
      <c r="R63" s="14">
        <v>10</v>
      </c>
      <c r="S63" s="14">
        <v>21794.002</v>
      </c>
      <c r="U63" s="5">
        <v>7</v>
      </c>
      <c r="V63" s="16">
        <v>151.53620000000001</v>
      </c>
      <c r="W63" s="14">
        <v>7</v>
      </c>
      <c r="X63" s="17">
        <f t="shared" si="0"/>
        <v>1.5630689999999999E-6</v>
      </c>
      <c r="Y63" s="14">
        <v>7</v>
      </c>
      <c r="Z63" s="16">
        <f t="shared" si="1"/>
        <v>1.5509519999999998E-6</v>
      </c>
      <c r="AD63" s="17">
        <f t="shared" si="2"/>
        <v>7</v>
      </c>
      <c r="AE63" s="18">
        <f t="shared" si="3"/>
        <v>7</v>
      </c>
      <c r="AF63" s="17">
        <f t="shared" si="4"/>
        <v>7</v>
      </c>
      <c r="AG63" s="18">
        <f t="shared" si="5"/>
        <v>50.512070000000001</v>
      </c>
      <c r="AH63" s="6">
        <f t="shared" si="6"/>
        <v>8</v>
      </c>
      <c r="AI63" s="6">
        <f t="shared" si="7"/>
        <v>10</v>
      </c>
      <c r="AJ63" s="6">
        <f t="shared" si="8"/>
        <v>9.33</v>
      </c>
      <c r="AK63" s="6">
        <f t="shared" si="9"/>
        <v>24711.287</v>
      </c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</row>
    <row r="64" spans="1:56" ht="12.75">
      <c r="A64" s="7" t="s">
        <v>521</v>
      </c>
      <c r="H64" s="12"/>
      <c r="N64" s="14">
        <v>9</v>
      </c>
      <c r="O64" s="14">
        <v>22045.834999999999</v>
      </c>
      <c r="P64" s="14">
        <v>10</v>
      </c>
      <c r="Q64" s="14">
        <v>25224.723999999998</v>
      </c>
      <c r="R64" s="14">
        <v>9</v>
      </c>
      <c r="S64" s="14">
        <v>25155.907999999999</v>
      </c>
      <c r="U64" s="5">
        <v>8</v>
      </c>
      <c r="V64" s="16">
        <v>154.46109999999999</v>
      </c>
      <c r="W64" s="14">
        <v>8</v>
      </c>
      <c r="X64" s="17">
        <f t="shared" si="0"/>
        <v>1.5149550000000001E-6</v>
      </c>
      <c r="Y64" s="14">
        <v>8</v>
      </c>
      <c r="Z64" s="16">
        <f t="shared" si="1"/>
        <v>1.5371589999999998E-6</v>
      </c>
      <c r="AD64" s="17">
        <f t="shared" si="2"/>
        <v>8</v>
      </c>
      <c r="AE64" s="18">
        <f t="shared" si="3"/>
        <v>8</v>
      </c>
      <c r="AF64" s="17">
        <f t="shared" si="4"/>
        <v>8</v>
      </c>
      <c r="AG64" s="18">
        <f t="shared" si="5"/>
        <v>51.487029999999997</v>
      </c>
      <c r="AH64" s="6">
        <f t="shared" si="6"/>
        <v>9</v>
      </c>
      <c r="AI64" s="6">
        <f t="shared" si="7"/>
        <v>10</v>
      </c>
      <c r="AJ64" s="6">
        <f t="shared" si="8"/>
        <v>9.33</v>
      </c>
      <c r="AK64" s="6">
        <f t="shared" si="9"/>
        <v>24142.15567</v>
      </c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</row>
    <row r="65" spans="1:56" ht="12.75">
      <c r="A65" s="7" t="s">
        <v>519</v>
      </c>
      <c r="H65" s="12"/>
      <c r="N65" s="14">
        <v>10</v>
      </c>
      <c r="O65" s="14">
        <v>54354.057999999997</v>
      </c>
      <c r="P65" s="14">
        <v>10</v>
      </c>
      <c r="Q65" s="14">
        <v>61719.464999999997</v>
      </c>
      <c r="R65" s="14">
        <v>11</v>
      </c>
      <c r="S65" s="14">
        <v>52575.741999999998</v>
      </c>
      <c r="U65" s="5">
        <v>9</v>
      </c>
      <c r="V65" s="16">
        <v>172.53569999999999</v>
      </c>
      <c r="W65" s="14">
        <v>8</v>
      </c>
      <c r="X65" s="17">
        <f t="shared" si="0"/>
        <v>1.7279530000000002E-6</v>
      </c>
      <c r="Y65" s="14">
        <v>8</v>
      </c>
      <c r="Z65" s="16">
        <f t="shared" si="1"/>
        <v>1.797135E-6</v>
      </c>
      <c r="AD65" s="17">
        <f t="shared" si="2"/>
        <v>8</v>
      </c>
      <c r="AE65" s="18">
        <f t="shared" si="3"/>
        <v>9</v>
      </c>
      <c r="AF65" s="17">
        <f t="shared" si="4"/>
        <v>8.33</v>
      </c>
      <c r="AG65" s="18">
        <f t="shared" si="5"/>
        <v>57.511899999999997</v>
      </c>
      <c r="AH65" s="6">
        <f t="shared" si="6"/>
        <v>10</v>
      </c>
      <c r="AI65" s="6">
        <f t="shared" si="7"/>
        <v>11</v>
      </c>
      <c r="AJ65" s="6">
        <f t="shared" si="8"/>
        <v>10.33</v>
      </c>
      <c r="AK65" s="6">
        <f t="shared" si="9"/>
        <v>56216.421670000003</v>
      </c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</row>
    <row r="66" spans="1:56" ht="12.75">
      <c r="A66" s="7" t="s">
        <v>682</v>
      </c>
      <c r="H66" s="12"/>
      <c r="N66" s="14">
        <v>10</v>
      </c>
      <c r="O66" s="14">
        <v>55446.98</v>
      </c>
      <c r="P66" s="14">
        <v>10</v>
      </c>
      <c r="Q66" s="14">
        <v>60577.546999999999</v>
      </c>
      <c r="R66" s="14">
        <v>10</v>
      </c>
      <c r="S66" s="14">
        <v>67789.861000000004</v>
      </c>
      <c r="U66" s="5">
        <v>9</v>
      </c>
      <c r="V66" s="16">
        <v>187.8005</v>
      </c>
      <c r="W66" s="14">
        <v>9</v>
      </c>
      <c r="X66" s="17">
        <f t="shared" si="0"/>
        <v>1.843923E-6</v>
      </c>
      <c r="Y66" s="14">
        <v>8</v>
      </c>
      <c r="Z66" s="16">
        <f t="shared" si="1"/>
        <v>1.8340159999999999E-6</v>
      </c>
      <c r="AD66" s="17">
        <f t="shared" si="2"/>
        <v>8</v>
      </c>
      <c r="AE66" s="18">
        <f t="shared" si="3"/>
        <v>9</v>
      </c>
      <c r="AF66" s="17">
        <f t="shared" si="4"/>
        <v>8.67</v>
      </c>
      <c r="AG66" s="18">
        <f t="shared" si="5"/>
        <v>62.600169999999999</v>
      </c>
      <c r="AH66" s="6">
        <f t="shared" si="6"/>
        <v>10</v>
      </c>
      <c r="AI66" s="6">
        <f t="shared" si="7"/>
        <v>10</v>
      </c>
      <c r="AJ66" s="6">
        <f t="shared" si="8"/>
        <v>10</v>
      </c>
      <c r="AK66" s="6">
        <f t="shared" si="9"/>
        <v>61271.462670000001</v>
      </c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</row>
    <row r="67" spans="1:56" ht="12.75">
      <c r="A67" s="7" t="s">
        <v>550</v>
      </c>
      <c r="H67" s="12"/>
      <c r="N67" s="14">
        <v>11</v>
      </c>
      <c r="O67" s="14">
        <v>78216.350999999995</v>
      </c>
      <c r="P67" s="14">
        <v>11</v>
      </c>
      <c r="Q67" s="14">
        <v>64468.336000000003</v>
      </c>
      <c r="R67" s="14">
        <v>11</v>
      </c>
      <c r="S67" s="14">
        <v>59200.616999999998</v>
      </c>
      <c r="U67" s="5">
        <v>10</v>
      </c>
      <c r="V67" s="16">
        <v>179.34780000000001</v>
      </c>
      <c r="W67" s="14">
        <v>9</v>
      </c>
      <c r="X67" s="17">
        <f t="shared" si="0"/>
        <v>1.7770849999999999E-6</v>
      </c>
      <c r="Y67" s="14">
        <v>9</v>
      </c>
      <c r="Z67" s="16">
        <f t="shared" si="1"/>
        <v>1.8226980000000001E-6</v>
      </c>
      <c r="AD67" s="17">
        <f t="shared" si="2"/>
        <v>9</v>
      </c>
      <c r="AE67" s="18">
        <f t="shared" si="3"/>
        <v>10</v>
      </c>
      <c r="AF67" s="17">
        <f t="shared" si="4"/>
        <v>9.33</v>
      </c>
      <c r="AG67" s="18">
        <f t="shared" si="5"/>
        <v>59.782600000000002</v>
      </c>
      <c r="AH67" s="6">
        <f t="shared" si="6"/>
        <v>11</v>
      </c>
      <c r="AI67" s="6">
        <f t="shared" si="7"/>
        <v>11</v>
      </c>
      <c r="AJ67" s="6">
        <f t="shared" si="8"/>
        <v>11</v>
      </c>
      <c r="AK67" s="6">
        <f t="shared" si="9"/>
        <v>67295.101330000005</v>
      </c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</row>
    <row r="68" spans="1:56" ht="12.75">
      <c r="A68" s="7" t="s">
        <v>741</v>
      </c>
      <c r="H68" s="12"/>
      <c r="N68" s="14">
        <v>14</v>
      </c>
      <c r="O68" s="14">
        <v>42335.324999999997</v>
      </c>
      <c r="P68" s="14">
        <v>15</v>
      </c>
      <c r="Q68" s="14">
        <v>39937.896999999997</v>
      </c>
      <c r="R68" s="14">
        <v>15</v>
      </c>
      <c r="S68" s="14">
        <v>43101.606</v>
      </c>
      <c r="U68" s="5">
        <v>14</v>
      </c>
      <c r="V68" s="16">
        <v>179.83410000000001</v>
      </c>
      <c r="W68" s="14">
        <v>14</v>
      </c>
      <c r="X68" s="17">
        <f t="shared" si="0"/>
        <v>1.7904850000000001E-6</v>
      </c>
      <c r="Y68" s="14">
        <v>14</v>
      </c>
      <c r="Z68" s="16">
        <f t="shared" si="1"/>
        <v>1.750262E-6</v>
      </c>
      <c r="AD68" s="17">
        <f t="shared" si="2"/>
        <v>14</v>
      </c>
      <c r="AE68" s="18">
        <f t="shared" si="3"/>
        <v>14</v>
      </c>
      <c r="AF68" s="17">
        <f t="shared" si="4"/>
        <v>14</v>
      </c>
      <c r="AG68" s="18">
        <f t="shared" si="5"/>
        <v>59.944699999999997</v>
      </c>
      <c r="AH68" s="6">
        <f t="shared" si="6"/>
        <v>14</v>
      </c>
      <c r="AI68" s="6">
        <f t="shared" si="7"/>
        <v>15</v>
      </c>
      <c r="AJ68" s="6">
        <f t="shared" si="8"/>
        <v>14.67</v>
      </c>
      <c r="AK68" s="6">
        <f t="shared" si="9"/>
        <v>41791.609329999999</v>
      </c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</row>
    <row r="69" spans="1:56" ht="12.75">
      <c r="A69" s="7" t="s">
        <v>547</v>
      </c>
      <c r="H69" s="12"/>
      <c r="N69" s="14">
        <v>13</v>
      </c>
      <c r="O69" s="14">
        <v>42344.552000000003</v>
      </c>
      <c r="P69" s="14">
        <v>11</v>
      </c>
      <c r="Q69" s="14">
        <v>37165.224999999999</v>
      </c>
      <c r="R69" s="14">
        <v>13</v>
      </c>
      <c r="S69" s="14">
        <v>41034.264000000003</v>
      </c>
      <c r="U69" s="5">
        <v>11</v>
      </c>
      <c r="V69" s="16">
        <v>177.79599999999999</v>
      </c>
      <c r="W69" s="14">
        <v>11</v>
      </c>
      <c r="X69" s="17">
        <f t="shared" si="0"/>
        <v>1.7255309999999998E-6</v>
      </c>
      <c r="Y69" s="14">
        <v>11</v>
      </c>
      <c r="Z69" s="16">
        <f t="shared" si="1"/>
        <v>1.765987E-6</v>
      </c>
      <c r="AD69" s="17">
        <f t="shared" si="2"/>
        <v>11</v>
      </c>
      <c r="AE69" s="18">
        <f t="shared" si="3"/>
        <v>11</v>
      </c>
      <c r="AF69" s="17">
        <f t="shared" si="4"/>
        <v>11</v>
      </c>
      <c r="AG69" s="18">
        <f t="shared" si="5"/>
        <v>59.265329999999999</v>
      </c>
      <c r="AH69" s="6">
        <f t="shared" si="6"/>
        <v>11</v>
      </c>
      <c r="AI69" s="6">
        <f t="shared" si="7"/>
        <v>13</v>
      </c>
      <c r="AJ69" s="6">
        <f t="shared" si="8"/>
        <v>12.33</v>
      </c>
      <c r="AK69" s="6">
        <f t="shared" si="9"/>
        <v>40181.347000000002</v>
      </c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</row>
    <row r="70" spans="1:56" ht="12.75">
      <c r="A70" s="7" t="s">
        <v>801</v>
      </c>
      <c r="H70" s="12"/>
      <c r="N70" s="14">
        <v>18</v>
      </c>
      <c r="O70" s="14">
        <v>27772.776999999998</v>
      </c>
      <c r="P70" s="14">
        <v>19</v>
      </c>
      <c r="Q70" s="14">
        <v>28544.493999999999</v>
      </c>
      <c r="R70" s="14">
        <v>18</v>
      </c>
      <c r="S70" s="14">
        <v>25183.405999999999</v>
      </c>
      <c r="U70" s="5">
        <v>15</v>
      </c>
      <c r="V70" s="16">
        <v>168.19049999999999</v>
      </c>
      <c r="W70" s="14">
        <v>15</v>
      </c>
      <c r="X70" s="17">
        <f t="shared" si="0"/>
        <v>1.7697209999999999E-6</v>
      </c>
      <c r="Y70" s="14">
        <v>14</v>
      </c>
      <c r="Z70" s="16">
        <f t="shared" si="1"/>
        <v>1.7405080000000001E-6</v>
      </c>
      <c r="AD70" s="17">
        <f t="shared" si="2"/>
        <v>14</v>
      </c>
      <c r="AE70" s="18">
        <f t="shared" si="3"/>
        <v>15</v>
      </c>
      <c r="AF70" s="17">
        <f t="shared" si="4"/>
        <v>14.67</v>
      </c>
      <c r="AG70" s="18">
        <f t="shared" si="5"/>
        <v>56.063499999999998</v>
      </c>
      <c r="AH70" s="6">
        <f t="shared" si="6"/>
        <v>18</v>
      </c>
      <c r="AI70" s="6">
        <f t="shared" si="7"/>
        <v>19</v>
      </c>
      <c r="AJ70" s="6">
        <f t="shared" si="8"/>
        <v>18.329999999999998</v>
      </c>
      <c r="AK70" s="6">
        <f t="shared" si="9"/>
        <v>27166.892329999999</v>
      </c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</row>
    <row r="71" spans="1:56" ht="12.75">
      <c r="A71" s="7" t="s">
        <v>835</v>
      </c>
      <c r="H71" s="12"/>
      <c r="N71" s="14">
        <v>11</v>
      </c>
      <c r="O71" s="14">
        <v>46321.644</v>
      </c>
      <c r="P71" s="14">
        <v>13</v>
      </c>
      <c r="Q71" s="14">
        <v>59602.175999999999</v>
      </c>
      <c r="R71" s="14">
        <v>12</v>
      </c>
      <c r="S71" s="14">
        <v>64117.841</v>
      </c>
      <c r="U71" s="5">
        <v>11</v>
      </c>
      <c r="V71" s="16">
        <v>177.83680000000001</v>
      </c>
      <c r="W71" s="14">
        <v>11</v>
      </c>
      <c r="X71" s="17">
        <f t="shared" si="0"/>
        <v>1.7527449999999999E-6</v>
      </c>
      <c r="Y71" s="14">
        <v>10</v>
      </c>
      <c r="Z71" s="16">
        <f t="shared" si="1"/>
        <v>1.830442E-6</v>
      </c>
      <c r="AD71" s="17">
        <f t="shared" si="2"/>
        <v>10</v>
      </c>
      <c r="AE71" s="18">
        <f t="shared" si="3"/>
        <v>11</v>
      </c>
      <c r="AF71" s="17">
        <f t="shared" si="4"/>
        <v>10.67</v>
      </c>
      <c r="AG71" s="18">
        <f t="shared" si="5"/>
        <v>59.278930000000003</v>
      </c>
      <c r="AH71" s="6">
        <f t="shared" si="6"/>
        <v>11</v>
      </c>
      <c r="AI71" s="6">
        <f t="shared" si="7"/>
        <v>13</v>
      </c>
      <c r="AJ71" s="6">
        <f t="shared" si="8"/>
        <v>12</v>
      </c>
      <c r="AK71" s="6">
        <f t="shared" si="9"/>
        <v>56680.553670000001</v>
      </c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</row>
    <row r="72" spans="1:56" ht="12.75">
      <c r="A72" s="7" t="s">
        <v>581</v>
      </c>
      <c r="H72" s="12"/>
      <c r="N72" s="14">
        <v>11</v>
      </c>
      <c r="O72" s="14">
        <v>72184.861999999994</v>
      </c>
      <c r="P72" s="14">
        <v>13</v>
      </c>
      <c r="Q72" s="14">
        <v>79203.292000000001</v>
      </c>
      <c r="R72" s="14">
        <v>12</v>
      </c>
      <c r="S72" s="14">
        <v>62901.771999999997</v>
      </c>
      <c r="U72" s="5">
        <v>10</v>
      </c>
      <c r="V72" s="16">
        <v>178.88040000000001</v>
      </c>
      <c r="W72" s="14">
        <v>11</v>
      </c>
      <c r="X72" s="17">
        <f t="shared" si="0"/>
        <v>1.7964230000000001E-6</v>
      </c>
      <c r="Y72" s="14">
        <v>11</v>
      </c>
      <c r="Z72" s="16">
        <f t="shared" si="1"/>
        <v>1.758585E-6</v>
      </c>
      <c r="AD72" s="17">
        <f t="shared" si="2"/>
        <v>10</v>
      </c>
      <c r="AE72" s="18">
        <f t="shared" si="3"/>
        <v>11</v>
      </c>
      <c r="AF72" s="17">
        <f t="shared" si="4"/>
        <v>10.67</v>
      </c>
      <c r="AG72" s="18">
        <f t="shared" si="5"/>
        <v>59.626800000000003</v>
      </c>
      <c r="AH72" s="6">
        <f t="shared" si="6"/>
        <v>11</v>
      </c>
      <c r="AI72" s="6">
        <f t="shared" si="7"/>
        <v>13</v>
      </c>
      <c r="AJ72" s="6">
        <f t="shared" si="8"/>
        <v>12</v>
      </c>
      <c r="AK72" s="6">
        <f t="shared" si="9"/>
        <v>71429.975330000001</v>
      </c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</row>
    <row r="73" spans="1:56" ht="12.75">
      <c r="A73" s="7" t="s">
        <v>577</v>
      </c>
      <c r="H73" s="12"/>
      <c r="N73" s="14">
        <v>12</v>
      </c>
      <c r="O73" s="14">
        <v>47773.41</v>
      </c>
      <c r="P73" s="14">
        <v>13</v>
      </c>
      <c r="Q73" s="14">
        <v>54473.781000000003</v>
      </c>
      <c r="R73" s="14">
        <v>12</v>
      </c>
      <c r="S73" s="14">
        <v>42379.298000000003</v>
      </c>
      <c r="U73" s="5">
        <v>11</v>
      </c>
      <c r="V73" s="16">
        <v>176.38980000000001</v>
      </c>
      <c r="W73" s="14">
        <v>11</v>
      </c>
      <c r="X73" s="17">
        <f t="shared" si="0"/>
        <v>1.7186840000000001E-6</v>
      </c>
      <c r="Y73" s="14">
        <v>11</v>
      </c>
      <c r="Z73" s="16">
        <f t="shared" si="1"/>
        <v>1.760234E-6</v>
      </c>
      <c r="AD73" s="17">
        <f t="shared" si="2"/>
        <v>11</v>
      </c>
      <c r="AE73" s="18">
        <f t="shared" si="3"/>
        <v>11</v>
      </c>
      <c r="AF73" s="17">
        <f t="shared" si="4"/>
        <v>11</v>
      </c>
      <c r="AG73" s="18">
        <f t="shared" si="5"/>
        <v>58.796599999999998</v>
      </c>
      <c r="AH73" s="6">
        <f t="shared" si="6"/>
        <v>12</v>
      </c>
      <c r="AI73" s="6">
        <f t="shared" si="7"/>
        <v>13</v>
      </c>
      <c r="AJ73" s="6">
        <f t="shared" si="8"/>
        <v>12.33</v>
      </c>
      <c r="AK73" s="6">
        <f t="shared" si="9"/>
        <v>48208.829669999999</v>
      </c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</row>
    <row r="74" spans="1:56" ht="12.75">
      <c r="A74" s="7" t="s">
        <v>579</v>
      </c>
      <c r="H74" s="12"/>
      <c r="N74" s="14">
        <v>12</v>
      </c>
      <c r="O74" s="14">
        <v>71804.952999999994</v>
      </c>
      <c r="P74" s="14">
        <v>14</v>
      </c>
      <c r="Q74" s="14">
        <v>84690.054999999993</v>
      </c>
      <c r="R74" s="14">
        <v>13</v>
      </c>
      <c r="S74" s="14">
        <v>76688.903999999995</v>
      </c>
      <c r="U74" s="5">
        <v>10</v>
      </c>
      <c r="V74" s="16">
        <v>184.6694</v>
      </c>
      <c r="W74" s="14">
        <v>11</v>
      </c>
      <c r="X74" s="17">
        <f t="shared" si="0"/>
        <v>1.8259710000000002E-6</v>
      </c>
      <c r="Y74" s="14">
        <v>11</v>
      </c>
      <c r="Z74" s="16">
        <f t="shared" si="1"/>
        <v>1.829585E-6</v>
      </c>
      <c r="AD74" s="17">
        <f t="shared" si="2"/>
        <v>10</v>
      </c>
      <c r="AE74" s="18">
        <f t="shared" si="3"/>
        <v>11</v>
      </c>
      <c r="AF74" s="17">
        <f t="shared" si="4"/>
        <v>10.67</v>
      </c>
      <c r="AG74" s="18">
        <f t="shared" si="5"/>
        <v>61.556469999999997</v>
      </c>
      <c r="AH74" s="6">
        <f t="shared" si="6"/>
        <v>12</v>
      </c>
      <c r="AI74" s="6">
        <f t="shared" si="7"/>
        <v>14</v>
      </c>
      <c r="AJ74" s="6">
        <f t="shared" si="8"/>
        <v>13</v>
      </c>
      <c r="AK74" s="6">
        <f t="shared" si="9"/>
        <v>77727.970669999995</v>
      </c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</row>
    <row r="75" spans="1:56" ht="12.75">
      <c r="A75" s="7" t="s">
        <v>770</v>
      </c>
      <c r="H75" s="12"/>
      <c r="N75" s="14">
        <v>23</v>
      </c>
      <c r="O75" s="14">
        <v>38601.637000000002</v>
      </c>
      <c r="P75" s="14">
        <v>21</v>
      </c>
      <c r="Q75" s="14">
        <v>39498.718000000001</v>
      </c>
      <c r="R75" s="14">
        <v>23</v>
      </c>
      <c r="S75" s="14">
        <v>37984.457999999999</v>
      </c>
      <c r="U75" s="5">
        <v>20</v>
      </c>
      <c r="V75" s="16">
        <v>178.28829999999999</v>
      </c>
      <c r="W75" s="14">
        <v>20</v>
      </c>
      <c r="X75" s="17">
        <f t="shared" si="0"/>
        <v>1.753421E-6</v>
      </c>
      <c r="Y75" s="14">
        <v>20</v>
      </c>
      <c r="Z75" s="16">
        <f t="shared" si="1"/>
        <v>1.7869950000000001E-6</v>
      </c>
      <c r="AD75" s="17">
        <f t="shared" si="2"/>
        <v>20</v>
      </c>
      <c r="AE75" s="18">
        <f t="shared" si="3"/>
        <v>20</v>
      </c>
      <c r="AF75" s="17">
        <f t="shared" si="4"/>
        <v>20</v>
      </c>
      <c r="AG75" s="18">
        <f t="shared" si="5"/>
        <v>59.429430000000004</v>
      </c>
      <c r="AH75" s="6">
        <f t="shared" si="6"/>
        <v>21</v>
      </c>
      <c r="AI75" s="6">
        <f t="shared" si="7"/>
        <v>23</v>
      </c>
      <c r="AJ75" s="6">
        <f t="shared" si="8"/>
        <v>22.33</v>
      </c>
      <c r="AK75" s="6">
        <f t="shared" si="9"/>
        <v>38694.937669999999</v>
      </c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</row>
    <row r="76" spans="1:56" ht="12.75">
      <c r="A76" s="7" t="s">
        <v>776</v>
      </c>
      <c r="H76" s="12"/>
      <c r="N76" s="14">
        <v>35</v>
      </c>
      <c r="O76" s="14">
        <v>70616.356</v>
      </c>
      <c r="P76" s="14">
        <v>34</v>
      </c>
      <c r="Q76" s="14">
        <v>60918.252</v>
      </c>
      <c r="R76" s="14">
        <v>35</v>
      </c>
      <c r="S76" s="14">
        <v>55793.781999999999</v>
      </c>
      <c r="U76" s="5">
        <v>33</v>
      </c>
      <c r="V76" s="16">
        <v>197.32749999999999</v>
      </c>
      <c r="W76" s="14">
        <v>33</v>
      </c>
      <c r="X76" s="17">
        <f t="shared" si="0"/>
        <v>1.9747739999999998E-6</v>
      </c>
      <c r="Y76" s="14">
        <v>32</v>
      </c>
      <c r="Z76" s="16">
        <f t="shared" si="1"/>
        <v>1.9159039999999998E-6</v>
      </c>
      <c r="AD76" s="17">
        <f t="shared" si="2"/>
        <v>32</v>
      </c>
      <c r="AE76" s="18">
        <f t="shared" si="3"/>
        <v>33</v>
      </c>
      <c r="AF76" s="17">
        <f t="shared" si="4"/>
        <v>32.67</v>
      </c>
      <c r="AG76" s="18">
        <f t="shared" si="5"/>
        <v>65.775829999999999</v>
      </c>
      <c r="AH76" s="6">
        <f t="shared" si="6"/>
        <v>34</v>
      </c>
      <c r="AI76" s="6">
        <f t="shared" si="7"/>
        <v>35</v>
      </c>
      <c r="AJ76" s="6">
        <f t="shared" si="8"/>
        <v>34.67</v>
      </c>
      <c r="AK76" s="6">
        <f t="shared" si="9"/>
        <v>62442.796670000003</v>
      </c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</row>
    <row r="77" spans="1:56" ht="12.75">
      <c r="A77" s="7" t="s">
        <v>781</v>
      </c>
      <c r="H77" s="12"/>
      <c r="N77" s="14">
        <v>52</v>
      </c>
      <c r="O77" s="14">
        <v>78857.41</v>
      </c>
      <c r="P77" s="14">
        <v>52</v>
      </c>
      <c r="Q77" s="14">
        <v>78796.899000000005</v>
      </c>
      <c r="R77" s="14">
        <v>53</v>
      </c>
      <c r="S77" s="14">
        <v>84701.430999999997</v>
      </c>
      <c r="U77" s="5">
        <v>50</v>
      </c>
      <c r="V77" s="16">
        <v>214.864</v>
      </c>
      <c r="W77" s="14">
        <v>50</v>
      </c>
      <c r="X77" s="17">
        <f t="shared" si="0"/>
        <v>2.1638509999999999E-6</v>
      </c>
      <c r="Y77" s="14">
        <v>50</v>
      </c>
      <c r="Z77" s="16">
        <f t="shared" si="1"/>
        <v>2.1722079999999999E-6</v>
      </c>
      <c r="AD77" s="17">
        <f t="shared" si="2"/>
        <v>50</v>
      </c>
      <c r="AE77" s="18">
        <f t="shared" si="3"/>
        <v>50</v>
      </c>
      <c r="AF77" s="17">
        <f t="shared" si="4"/>
        <v>50</v>
      </c>
      <c r="AG77" s="18">
        <f t="shared" si="5"/>
        <v>71.62133</v>
      </c>
      <c r="AH77" s="6">
        <f t="shared" si="6"/>
        <v>52</v>
      </c>
      <c r="AI77" s="6">
        <f t="shared" si="7"/>
        <v>53</v>
      </c>
      <c r="AJ77" s="6">
        <f t="shared" si="8"/>
        <v>52.33</v>
      </c>
      <c r="AK77" s="6">
        <f t="shared" si="9"/>
        <v>80785.246669999993</v>
      </c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</row>
    <row r="78" spans="1:56" ht="12.75">
      <c r="A78" s="7" t="s">
        <v>612</v>
      </c>
      <c r="H78" s="12"/>
      <c r="N78" s="14">
        <v>66</v>
      </c>
      <c r="O78" s="14">
        <v>77877.722999999998</v>
      </c>
      <c r="P78" s="14">
        <v>68</v>
      </c>
      <c r="Q78" s="14">
        <v>95314.735000000001</v>
      </c>
      <c r="R78" s="14">
        <v>65</v>
      </c>
      <c r="S78" s="14">
        <v>86196.366999999998</v>
      </c>
      <c r="U78" s="5">
        <v>64</v>
      </c>
      <c r="V78" s="16">
        <v>240.5823</v>
      </c>
      <c r="W78" s="14">
        <v>65</v>
      </c>
      <c r="X78" s="17">
        <f t="shared" si="0"/>
        <v>2.4596709999999998E-6</v>
      </c>
      <c r="Y78" s="14">
        <v>64</v>
      </c>
      <c r="Z78" s="16">
        <f t="shared" si="1"/>
        <v>2.3992440000000002E-6</v>
      </c>
      <c r="AD78" s="17">
        <f t="shared" si="2"/>
        <v>64</v>
      </c>
      <c r="AE78" s="18">
        <f t="shared" si="3"/>
        <v>65</v>
      </c>
      <c r="AF78" s="17">
        <f t="shared" si="4"/>
        <v>64.33</v>
      </c>
      <c r="AG78" s="18">
        <f t="shared" si="5"/>
        <v>80.194100000000006</v>
      </c>
      <c r="AH78" s="6">
        <f t="shared" si="6"/>
        <v>65</v>
      </c>
      <c r="AI78" s="6">
        <f t="shared" si="7"/>
        <v>68</v>
      </c>
      <c r="AJ78" s="6">
        <f t="shared" si="8"/>
        <v>66.33</v>
      </c>
      <c r="AK78" s="6">
        <f t="shared" si="9"/>
        <v>86462.94167</v>
      </c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</row>
    <row r="79" spans="1:56" ht="12.75">
      <c r="A79" s="7" t="s">
        <v>608</v>
      </c>
      <c r="H79" s="12"/>
      <c r="N79" s="14">
        <v>80</v>
      </c>
      <c r="O79" s="14">
        <v>124043.345</v>
      </c>
      <c r="P79" s="14">
        <v>76</v>
      </c>
      <c r="Q79" s="14">
        <v>118864.545</v>
      </c>
      <c r="R79" s="14">
        <v>78</v>
      </c>
      <c r="S79" s="14">
        <v>105728.25599999999</v>
      </c>
      <c r="U79" s="5">
        <v>75</v>
      </c>
      <c r="V79" s="16">
        <v>284.11709999999999</v>
      </c>
      <c r="W79" s="14">
        <v>75</v>
      </c>
      <c r="X79" s="17">
        <f t="shared" si="0"/>
        <v>2.8629970000000001E-6</v>
      </c>
      <c r="Y79" s="14">
        <v>74</v>
      </c>
      <c r="Z79" s="16">
        <f t="shared" si="1"/>
        <v>2.9058440000000001E-6</v>
      </c>
      <c r="AD79" s="17">
        <f t="shared" si="2"/>
        <v>74</v>
      </c>
      <c r="AE79" s="18">
        <f t="shared" si="3"/>
        <v>75</v>
      </c>
      <c r="AF79" s="17">
        <f t="shared" si="4"/>
        <v>74.67</v>
      </c>
      <c r="AG79" s="18">
        <f t="shared" si="5"/>
        <v>94.705699999999993</v>
      </c>
      <c r="AH79" s="6">
        <f t="shared" si="6"/>
        <v>76</v>
      </c>
      <c r="AI79" s="6">
        <f t="shared" si="7"/>
        <v>80</v>
      </c>
      <c r="AJ79" s="6">
        <f t="shared" si="8"/>
        <v>78</v>
      </c>
      <c r="AK79" s="6">
        <f t="shared" si="9"/>
        <v>116212.04867</v>
      </c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</row>
    <row r="80" spans="1:56" ht="12.75">
      <c r="A80" s="7" t="s">
        <v>610</v>
      </c>
      <c r="H80" s="12"/>
      <c r="N80" s="14">
        <v>97</v>
      </c>
      <c r="O80" s="14">
        <v>95418.650999999998</v>
      </c>
      <c r="P80" s="14">
        <v>93</v>
      </c>
      <c r="Q80" s="14">
        <v>117375.024</v>
      </c>
      <c r="R80" s="14">
        <v>95</v>
      </c>
      <c r="S80" s="14">
        <v>112404.694</v>
      </c>
      <c r="U80" s="5">
        <v>91</v>
      </c>
      <c r="V80" s="16">
        <v>307.55020000000002</v>
      </c>
      <c r="W80" s="14">
        <v>90</v>
      </c>
      <c r="X80" s="17">
        <f t="shared" si="0"/>
        <v>3.4133910000000002E-6</v>
      </c>
      <c r="Y80" s="14">
        <v>91</v>
      </c>
      <c r="Z80" s="16">
        <f t="shared" si="1"/>
        <v>3.1786609999999997E-6</v>
      </c>
      <c r="AD80" s="17">
        <f t="shared" si="2"/>
        <v>90</v>
      </c>
      <c r="AE80" s="18">
        <f t="shared" si="3"/>
        <v>91</v>
      </c>
      <c r="AF80" s="17">
        <f t="shared" si="4"/>
        <v>90.67</v>
      </c>
      <c r="AG80" s="18">
        <f t="shared" si="5"/>
        <v>102.51674</v>
      </c>
      <c r="AH80" s="6">
        <f t="shared" si="6"/>
        <v>93</v>
      </c>
      <c r="AI80" s="6">
        <f t="shared" si="7"/>
        <v>97</v>
      </c>
      <c r="AJ80" s="6">
        <f t="shared" si="8"/>
        <v>95</v>
      </c>
      <c r="AK80" s="6">
        <f t="shared" si="9"/>
        <v>108399.45633</v>
      </c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</row>
    <row r="81" spans="1:56" ht="12.75">
      <c r="A81" s="11"/>
      <c r="B81" s="12"/>
      <c r="C81" s="12"/>
      <c r="D81" s="12"/>
      <c r="E81" s="12"/>
      <c r="F81" s="12"/>
      <c r="G81" s="12"/>
      <c r="H81" s="12"/>
      <c r="I81" s="12"/>
      <c r="K81" s="12"/>
      <c r="L81" s="12"/>
      <c r="M81" s="12"/>
      <c r="N81" s="14">
        <v>94</v>
      </c>
      <c r="O81" s="14">
        <v>206240.87400000001</v>
      </c>
      <c r="P81" s="14">
        <v>94</v>
      </c>
      <c r="Q81" s="14">
        <v>189308.43299999999</v>
      </c>
      <c r="R81" s="14">
        <v>98</v>
      </c>
      <c r="S81" s="14">
        <v>193819.44899999999</v>
      </c>
      <c r="U81" s="5">
        <v>91</v>
      </c>
      <c r="V81" s="16">
        <v>539.26700000000005</v>
      </c>
      <c r="W81" s="14">
        <v>92</v>
      </c>
      <c r="X81" s="17">
        <f t="shared" si="0"/>
        <v>5.5796789999999993E-6</v>
      </c>
      <c r="Y81" s="14">
        <v>92</v>
      </c>
      <c r="Z81" s="16">
        <f t="shared" si="1"/>
        <v>5.3264439999999999E-6</v>
      </c>
      <c r="AA81" s="12"/>
      <c r="AB81" s="12"/>
      <c r="AC81" s="12"/>
      <c r="AD81" s="17">
        <f t="shared" si="2"/>
        <v>91</v>
      </c>
      <c r="AE81" s="18">
        <f t="shared" si="3"/>
        <v>92</v>
      </c>
      <c r="AF81" s="17">
        <f t="shared" si="4"/>
        <v>91.67</v>
      </c>
      <c r="AG81" s="18">
        <f t="shared" si="5"/>
        <v>179.75567000000001</v>
      </c>
      <c r="AH81" s="6">
        <f t="shared" si="6"/>
        <v>94</v>
      </c>
      <c r="AI81" s="6">
        <f t="shared" si="7"/>
        <v>98</v>
      </c>
      <c r="AJ81" s="6">
        <f t="shared" si="8"/>
        <v>95.33</v>
      </c>
      <c r="AK81" s="6">
        <f t="shared" si="9"/>
        <v>196456.25200000001</v>
      </c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</row>
    <row r="82" spans="1:56" ht="12.75">
      <c r="A82" s="11"/>
      <c r="B82" s="12"/>
      <c r="C82" s="12"/>
      <c r="D82" s="12"/>
      <c r="E82" s="12"/>
      <c r="F82" s="12"/>
      <c r="G82" s="12"/>
      <c r="H82" s="12"/>
      <c r="I82" s="12"/>
      <c r="K82" s="12"/>
      <c r="L82" s="12"/>
      <c r="M82" s="12"/>
      <c r="N82" s="14">
        <v>163</v>
      </c>
      <c r="O82" s="14">
        <v>123192.247</v>
      </c>
      <c r="P82" s="14">
        <v>162</v>
      </c>
      <c r="Q82" s="14">
        <v>104182.527</v>
      </c>
      <c r="R82" s="14">
        <v>163</v>
      </c>
      <c r="S82" s="14">
        <v>111322.163</v>
      </c>
      <c r="U82" s="5">
        <v>159</v>
      </c>
      <c r="V82" s="16">
        <v>395.80380000000002</v>
      </c>
      <c r="W82" s="14">
        <v>159</v>
      </c>
      <c r="X82" s="17">
        <f t="shared" si="0"/>
        <v>3.4804889999999999E-6</v>
      </c>
      <c r="Y82" s="14">
        <v>158</v>
      </c>
      <c r="Z82" s="16">
        <f t="shared" si="1"/>
        <v>3.2488879999999996E-6</v>
      </c>
      <c r="AA82" s="12"/>
      <c r="AB82" s="12"/>
      <c r="AC82" s="12"/>
      <c r="AD82" s="17">
        <f t="shared" si="2"/>
        <v>158</v>
      </c>
      <c r="AE82" s="18">
        <f t="shared" si="3"/>
        <v>159</v>
      </c>
      <c r="AF82" s="17">
        <f t="shared" si="4"/>
        <v>158.66999999999999</v>
      </c>
      <c r="AG82" s="18">
        <f t="shared" si="5"/>
        <v>131.93459999999999</v>
      </c>
      <c r="AH82" s="6">
        <f t="shared" si="6"/>
        <v>162</v>
      </c>
      <c r="AI82" s="6">
        <f t="shared" si="7"/>
        <v>163</v>
      </c>
      <c r="AJ82" s="6">
        <f t="shared" si="8"/>
        <v>162.66999999999999</v>
      </c>
      <c r="AK82" s="6">
        <f t="shared" si="9"/>
        <v>112898.97900000001</v>
      </c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</row>
    <row r="83" spans="1:56" ht="12.75">
      <c r="A83" s="11"/>
      <c r="B83" s="12"/>
      <c r="C83" s="12"/>
      <c r="D83" s="12"/>
      <c r="E83" s="12"/>
      <c r="F83" s="12"/>
      <c r="G83" s="12"/>
      <c r="H83" s="12"/>
      <c r="I83" s="12"/>
      <c r="K83" s="12"/>
      <c r="L83" s="12"/>
      <c r="M83" s="12"/>
      <c r="N83" s="14">
        <v>133</v>
      </c>
      <c r="O83" s="14">
        <v>174159.264</v>
      </c>
      <c r="P83" s="14">
        <v>130</v>
      </c>
      <c r="Q83" s="14">
        <v>139187.769</v>
      </c>
      <c r="R83" s="14">
        <v>133</v>
      </c>
      <c r="S83" s="14">
        <v>142288.484</v>
      </c>
      <c r="U83" s="5">
        <v>128</v>
      </c>
      <c r="V83" s="16">
        <v>458.54300000000001</v>
      </c>
      <c r="W83" s="14">
        <v>129</v>
      </c>
      <c r="X83" s="17">
        <f t="shared" si="0"/>
        <v>5.8949110000000002E-6</v>
      </c>
      <c r="Y83" s="14">
        <v>129</v>
      </c>
      <c r="Z83" s="16">
        <f t="shared" si="1"/>
        <v>4.5883699999999996E-6</v>
      </c>
      <c r="AA83" s="12"/>
      <c r="AB83" s="12"/>
      <c r="AC83" s="12"/>
      <c r="AD83" s="17">
        <f t="shared" si="2"/>
        <v>128</v>
      </c>
      <c r="AE83" s="18">
        <f t="shared" si="3"/>
        <v>129</v>
      </c>
      <c r="AF83" s="17">
        <f t="shared" si="4"/>
        <v>128.66999999999999</v>
      </c>
      <c r="AG83" s="18">
        <f t="shared" si="5"/>
        <v>152.84766999999999</v>
      </c>
      <c r="AH83" s="6">
        <f t="shared" si="6"/>
        <v>130</v>
      </c>
      <c r="AI83" s="6">
        <f t="shared" si="7"/>
        <v>133</v>
      </c>
      <c r="AJ83" s="6">
        <f t="shared" si="8"/>
        <v>132</v>
      </c>
      <c r="AK83" s="6">
        <f t="shared" si="9"/>
        <v>151878.50567000001</v>
      </c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</row>
    <row r="84" spans="1:56" ht="12.75">
      <c r="A84" s="11"/>
      <c r="B84" s="12"/>
      <c r="C84" s="12"/>
      <c r="D84" s="12"/>
      <c r="E84" s="12"/>
      <c r="F84" s="12"/>
      <c r="G84" s="12"/>
      <c r="H84" s="12"/>
      <c r="I84" s="12"/>
      <c r="K84" s="12"/>
      <c r="L84" s="12"/>
      <c r="M84" s="12"/>
      <c r="N84" s="14">
        <v>184</v>
      </c>
      <c r="O84" s="14">
        <v>121663.48699999999</v>
      </c>
      <c r="P84" s="14">
        <v>187</v>
      </c>
      <c r="Q84" s="14">
        <v>123698.08500000001</v>
      </c>
      <c r="R84" s="14">
        <v>185</v>
      </c>
      <c r="S84" s="14">
        <v>144799.734</v>
      </c>
      <c r="U84" s="5">
        <v>181</v>
      </c>
      <c r="V84" s="16">
        <v>394.8809</v>
      </c>
      <c r="W84" s="14">
        <v>181</v>
      </c>
      <c r="X84" s="17">
        <f t="shared" si="0"/>
        <v>3.9739679999999995E-6</v>
      </c>
      <c r="Y84" s="14">
        <v>180</v>
      </c>
      <c r="Z84" s="16">
        <f t="shared" si="1"/>
        <v>4.0134280000000003E-6</v>
      </c>
      <c r="AA84" s="12"/>
      <c r="AB84" s="12"/>
      <c r="AC84" s="12"/>
      <c r="AD84" s="17">
        <f t="shared" si="2"/>
        <v>180</v>
      </c>
      <c r="AE84" s="18">
        <f t="shared" si="3"/>
        <v>181</v>
      </c>
      <c r="AF84" s="17">
        <f t="shared" si="4"/>
        <v>180.67</v>
      </c>
      <c r="AG84" s="18">
        <f t="shared" si="5"/>
        <v>131.62697</v>
      </c>
      <c r="AH84" s="6">
        <f t="shared" si="6"/>
        <v>184</v>
      </c>
      <c r="AI84" s="6">
        <f t="shared" si="7"/>
        <v>187</v>
      </c>
      <c r="AJ84" s="6">
        <f t="shared" si="8"/>
        <v>185.33</v>
      </c>
      <c r="AK84" s="6">
        <f t="shared" si="9"/>
        <v>130053.76867</v>
      </c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</row>
    <row r="85" spans="1:56" ht="12.75">
      <c r="A85" s="11"/>
      <c r="B85" s="12"/>
      <c r="C85" s="12"/>
      <c r="D85" s="12"/>
      <c r="E85" s="12"/>
      <c r="F85" s="12"/>
      <c r="G85" s="12"/>
      <c r="H85" s="12"/>
      <c r="I85" s="12"/>
      <c r="K85" s="12"/>
      <c r="L85" s="12"/>
      <c r="M85" s="12"/>
      <c r="N85" s="14">
        <v>127</v>
      </c>
      <c r="O85" s="14">
        <v>249378.541</v>
      </c>
      <c r="P85" s="14">
        <v>126</v>
      </c>
      <c r="Q85" s="14">
        <v>284379.40700000001</v>
      </c>
      <c r="R85" s="14">
        <v>127</v>
      </c>
      <c r="S85" s="14">
        <v>250297.75899999999</v>
      </c>
      <c r="U85" s="5">
        <v>122</v>
      </c>
      <c r="V85" s="16">
        <v>1151.5395000000001</v>
      </c>
      <c r="W85" s="14">
        <v>122</v>
      </c>
      <c r="X85" s="17">
        <f t="shared" si="0"/>
        <v>1.1825007E-5</v>
      </c>
      <c r="Y85" s="14">
        <v>122</v>
      </c>
      <c r="Z85" s="16">
        <f t="shared" si="1"/>
        <v>1.1926448999999999E-5</v>
      </c>
      <c r="AA85" s="12"/>
      <c r="AB85" s="12"/>
      <c r="AC85" s="12"/>
      <c r="AD85" s="17">
        <f t="shared" si="2"/>
        <v>122</v>
      </c>
      <c r="AE85" s="18">
        <f t="shared" si="3"/>
        <v>122</v>
      </c>
      <c r="AF85" s="17">
        <f t="shared" si="4"/>
        <v>122</v>
      </c>
      <c r="AG85" s="18">
        <f t="shared" si="5"/>
        <v>383.84651000000002</v>
      </c>
      <c r="AH85" s="6">
        <f t="shared" si="6"/>
        <v>126</v>
      </c>
      <c r="AI85" s="6">
        <f t="shared" si="7"/>
        <v>127</v>
      </c>
      <c r="AJ85" s="6">
        <f t="shared" si="8"/>
        <v>126.67</v>
      </c>
      <c r="AK85" s="6">
        <f t="shared" si="9"/>
        <v>261351.90233000001</v>
      </c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</row>
    <row r="86" spans="1:56" ht="12.75">
      <c r="A86" s="11"/>
      <c r="B86" s="12"/>
      <c r="C86" s="12"/>
      <c r="D86" s="12"/>
      <c r="E86" s="12"/>
      <c r="F86" s="12"/>
      <c r="G86" s="12"/>
      <c r="H86" s="12"/>
      <c r="I86" s="12"/>
      <c r="K86" s="12"/>
      <c r="L86" s="12"/>
      <c r="M86" s="12"/>
      <c r="N86" s="14">
        <v>182</v>
      </c>
      <c r="O86" s="14">
        <v>621994.14199999999</v>
      </c>
      <c r="P86" s="14">
        <v>183</v>
      </c>
      <c r="Q86" s="14">
        <v>746728.02500000002</v>
      </c>
      <c r="R86" s="14">
        <v>181</v>
      </c>
      <c r="S86" s="14">
        <v>638079.56799999997</v>
      </c>
      <c r="U86" s="5">
        <v>178</v>
      </c>
      <c r="V86" s="16">
        <v>3752.1792999999998</v>
      </c>
      <c r="W86" s="14">
        <v>177</v>
      </c>
      <c r="X86" s="17">
        <f t="shared" si="0"/>
        <v>3.6273068999999999E-5</v>
      </c>
      <c r="Y86" s="14">
        <v>178</v>
      </c>
      <c r="Z86" s="16">
        <f t="shared" si="1"/>
        <v>4.0335508999999998E-5</v>
      </c>
      <c r="AA86" s="12"/>
      <c r="AB86" s="12"/>
      <c r="AC86" s="12"/>
      <c r="AD86" s="17">
        <f t="shared" si="2"/>
        <v>177</v>
      </c>
      <c r="AE86" s="18">
        <f t="shared" si="3"/>
        <v>178</v>
      </c>
      <c r="AF86" s="17">
        <f t="shared" si="4"/>
        <v>177.67</v>
      </c>
      <c r="AG86" s="18">
        <f t="shared" si="5"/>
        <v>1250.7264600000001</v>
      </c>
      <c r="AH86" s="6">
        <f t="shared" si="6"/>
        <v>181</v>
      </c>
      <c r="AI86" s="6">
        <f t="shared" si="7"/>
        <v>183</v>
      </c>
      <c r="AJ86" s="6">
        <f t="shared" si="8"/>
        <v>182</v>
      </c>
      <c r="AK86" s="6">
        <f t="shared" si="9"/>
        <v>668933.91166999994</v>
      </c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</row>
    <row r="87" spans="1:56" ht="12.75">
      <c r="A87" s="11"/>
      <c r="B87" s="12"/>
      <c r="C87" s="12"/>
      <c r="D87" s="12"/>
      <c r="E87" s="12"/>
      <c r="F87" s="12"/>
      <c r="G87" s="12"/>
      <c r="H87" s="12"/>
      <c r="I87" s="12"/>
      <c r="K87" s="12"/>
      <c r="L87" s="12"/>
      <c r="M87" s="12"/>
      <c r="N87" s="14">
        <v>500</v>
      </c>
      <c r="O87" s="14">
        <v>693805.73800000001</v>
      </c>
      <c r="P87" s="14">
        <v>500</v>
      </c>
      <c r="Q87" s="14">
        <v>820144.45900000003</v>
      </c>
      <c r="R87" s="14">
        <v>501</v>
      </c>
      <c r="S87" s="14">
        <v>867047.77500000002</v>
      </c>
      <c r="U87" s="5">
        <v>175</v>
      </c>
      <c r="V87" s="16">
        <v>2596.6941000000002</v>
      </c>
      <c r="W87" s="14">
        <v>176</v>
      </c>
      <c r="X87" s="17">
        <f t="shared" si="0"/>
        <v>2.590112E-5</v>
      </c>
      <c r="Y87" s="14">
        <v>175</v>
      </c>
      <c r="Z87" s="16">
        <f t="shared" si="1"/>
        <v>2.5725022000000002E-5</v>
      </c>
      <c r="AA87" s="12"/>
      <c r="AB87" s="12"/>
      <c r="AC87" s="12"/>
      <c r="AD87" s="17">
        <f t="shared" si="2"/>
        <v>175</v>
      </c>
      <c r="AE87" s="18">
        <f t="shared" si="3"/>
        <v>176</v>
      </c>
      <c r="AF87" s="17">
        <f t="shared" si="4"/>
        <v>175.33</v>
      </c>
      <c r="AG87" s="18">
        <f t="shared" si="5"/>
        <v>865.56471999999997</v>
      </c>
      <c r="AH87" s="6">
        <f t="shared" si="6"/>
        <v>500</v>
      </c>
      <c r="AI87" s="6">
        <f t="shared" si="7"/>
        <v>501</v>
      </c>
      <c r="AJ87" s="6">
        <f t="shared" si="8"/>
        <v>500.33</v>
      </c>
      <c r="AK87" s="6">
        <f t="shared" si="9"/>
        <v>793665.99066999997</v>
      </c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</row>
    <row r="88" spans="1:56" ht="12.75">
      <c r="A88" s="11"/>
      <c r="B88" s="12"/>
      <c r="C88" s="12"/>
      <c r="D88" s="12"/>
      <c r="E88" s="12"/>
      <c r="F88" s="12"/>
      <c r="G88" s="12"/>
      <c r="H88" s="12"/>
      <c r="I88" s="12"/>
      <c r="K88" s="12"/>
      <c r="L88" s="12"/>
      <c r="M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</row>
    <row r="89" spans="1:56" ht="12.75">
      <c r="A89" s="11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</row>
    <row r="90" spans="1:56" ht="12.75">
      <c r="A90" s="11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</row>
    <row r="91" spans="1:56" ht="12.75">
      <c r="A91" s="11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</row>
    <row r="92" spans="1:56" ht="12.75">
      <c r="A92" s="11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</row>
    <row r="93" spans="1:56" ht="12.75">
      <c r="A93" s="11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</row>
    <row r="94" spans="1:56" ht="12.75">
      <c r="A94" s="11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</row>
    <row r="95" spans="1:56" ht="12.75">
      <c r="A95" s="11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</row>
    <row r="96" spans="1:56" ht="12.75">
      <c r="A96" s="11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</row>
    <row r="97" spans="1:56" ht="12.75">
      <c r="A97" s="11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</row>
    <row r="98" spans="1:56" ht="12.75">
      <c r="A98" s="11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</row>
    <row r="99" spans="1:56" ht="12.75">
      <c r="A99" s="11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</row>
    <row r="100" spans="1:56" ht="12.75">
      <c r="A100" s="11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</row>
    <row r="101" spans="1:56" ht="12.75">
      <c r="A101" s="11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</row>
    <row r="102" spans="1:56" ht="12.75">
      <c r="A102" s="11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</row>
    <row r="103" spans="1:56" ht="12.75">
      <c r="A103" s="11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</row>
    <row r="104" spans="1:56" ht="12.75">
      <c r="A104" s="11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</row>
    <row r="105" spans="1:56" ht="12.75">
      <c r="A105" s="11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</row>
    <row r="106" spans="1:56" ht="12.75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</row>
    <row r="107" spans="1:56" ht="12.75">
      <c r="A107" s="11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</row>
    <row r="108" spans="1:56" ht="12.75">
      <c r="A108" s="11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</row>
    <row r="109" spans="1:56" ht="12.75">
      <c r="A109" s="11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</row>
    <row r="110" spans="1:56" ht="12.75">
      <c r="A110" s="11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</row>
    <row r="111" spans="1:56" ht="12.75">
      <c r="A111" s="11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</row>
    <row r="112" spans="1:56" ht="12.75">
      <c r="A112" s="11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</row>
    <row r="113" spans="1:56" ht="12.75">
      <c r="A113" s="11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</row>
    <row r="114" spans="1:56" ht="12.75">
      <c r="A114" s="11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</row>
    <row r="115" spans="1:56" ht="12.75">
      <c r="A115" s="11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</row>
    <row r="116" spans="1:56" ht="12.75">
      <c r="A116" s="11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</row>
    <row r="117" spans="1:56" ht="12.75">
      <c r="A117" s="11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</row>
    <row r="118" spans="1:56" ht="12.75">
      <c r="A118" s="11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</row>
    <row r="119" spans="1:56" ht="12.75">
      <c r="A119" s="11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</row>
    <row r="120" spans="1:56" ht="12.75">
      <c r="A120" s="11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</row>
    <row r="121" spans="1:56" ht="12.75">
      <c r="A121" s="11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</row>
    <row r="122" spans="1:56" ht="12.75">
      <c r="A122" s="11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</row>
    <row r="123" spans="1:56" ht="12.75">
      <c r="A123" s="11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</row>
    <row r="124" spans="1:56" ht="12.75">
      <c r="A124" s="11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</row>
    <row r="125" spans="1:56" ht="12.75">
      <c r="A125" s="11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</row>
    <row r="126" spans="1:56" ht="12.75">
      <c r="A126" s="11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</row>
    <row r="127" spans="1:56" ht="12.75">
      <c r="A127" s="11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</row>
    <row r="128" spans="1:56" ht="12.75">
      <c r="A128" s="11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</row>
    <row r="129" spans="1:56" ht="12.75">
      <c r="A129" s="11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</row>
    <row r="130" spans="1:56" ht="12.75">
      <c r="A130" s="11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</row>
    <row r="131" spans="1:56" ht="12.75">
      <c r="A131" s="11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</row>
    <row r="132" spans="1:56" ht="12.75">
      <c r="A132" s="11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</row>
    <row r="133" spans="1:56" ht="12.75">
      <c r="A133" s="11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</row>
    <row r="134" spans="1:56" ht="12.75">
      <c r="A134" s="11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</row>
    <row r="135" spans="1:56" ht="12.75">
      <c r="A135" s="11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</row>
    <row r="136" spans="1:56" ht="12.75">
      <c r="A136" s="11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</row>
    <row r="137" spans="1:56" ht="12.75">
      <c r="A137" s="11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</row>
    <row r="138" spans="1:56" ht="12.75">
      <c r="A138" s="11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</row>
    <row r="139" spans="1:56" ht="12.75">
      <c r="A139" s="11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</row>
    <row r="140" spans="1:56" ht="12.75">
      <c r="A140" s="11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</row>
    <row r="141" spans="1:56" ht="12.75">
      <c r="A141" s="11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</row>
    <row r="142" spans="1:56" ht="12.75">
      <c r="A142" s="11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</row>
    <row r="143" spans="1:56" ht="12.75">
      <c r="A143" s="11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</row>
    <row r="144" spans="1:56" ht="12.75">
      <c r="A144" s="11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</row>
    <row r="145" spans="1:56" ht="12.75">
      <c r="A145" s="11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</row>
    <row r="146" spans="1:56" ht="12.75">
      <c r="A146" s="11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</row>
    <row r="147" spans="1:56" ht="12.75">
      <c r="A147" s="11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</row>
    <row r="148" spans="1:56" ht="12.75">
      <c r="A148" s="11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</row>
    <row r="149" spans="1:56" ht="12.75">
      <c r="A149" s="11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</row>
    <row r="150" spans="1:56" ht="12.75">
      <c r="A150" s="11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</row>
    <row r="151" spans="1:56" ht="12.75">
      <c r="A151" s="11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</row>
    <row r="152" spans="1:56" ht="12.75">
      <c r="A152" s="11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</row>
    <row r="153" spans="1:56" ht="12.75">
      <c r="A153" s="11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</row>
    <row r="154" spans="1:56" ht="12.75">
      <c r="A154" s="11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</row>
    <row r="155" spans="1:56" ht="12.75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</row>
    <row r="156" spans="1:56" ht="12.75">
      <c r="A156" s="11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</row>
    <row r="157" spans="1:56" ht="12.75">
      <c r="A157" s="11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</row>
    <row r="158" spans="1:56" ht="12.75">
      <c r="A158" s="11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</row>
    <row r="159" spans="1:56" ht="12.75">
      <c r="A159" s="11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</row>
    <row r="160" spans="1:56" ht="12.75">
      <c r="A160" s="11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</row>
    <row r="161" spans="1:56" ht="12.75">
      <c r="A161" s="11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</row>
    <row r="162" spans="1:56" ht="12.75">
      <c r="A162" s="11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</row>
    <row r="163" spans="1:56" ht="12.75">
      <c r="A163" s="11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</row>
    <row r="164" spans="1:56" ht="12.75">
      <c r="A164" s="11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</row>
    <row r="165" spans="1:56" ht="12.75">
      <c r="A165" s="11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</row>
    <row r="166" spans="1:56" ht="12.75">
      <c r="A166" s="11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</row>
    <row r="167" spans="1:56" ht="12.75">
      <c r="A167" s="11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</row>
    <row r="168" spans="1:56" ht="12.75">
      <c r="A168" s="11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</row>
    <row r="169" spans="1:56" ht="12.75">
      <c r="A169" s="11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</row>
    <row r="170" spans="1:56" ht="12.75">
      <c r="A170" s="11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</row>
    <row r="171" spans="1:56" ht="12.75">
      <c r="A171" s="11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</row>
    <row r="172" spans="1:56" ht="12.75">
      <c r="A172" s="11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</row>
    <row r="173" spans="1:56" ht="12.75">
      <c r="A173" s="11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</row>
    <row r="174" spans="1:56" ht="12.75">
      <c r="A174" s="11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</row>
    <row r="175" spans="1:56" ht="12.75">
      <c r="A175" s="11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</row>
    <row r="176" spans="1:56" ht="12.75">
      <c r="A176" s="11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</row>
    <row r="177" spans="1:56" ht="12.75">
      <c r="A177" s="11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</row>
    <row r="178" spans="1:56" ht="12.75">
      <c r="A178" s="11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</row>
    <row r="179" spans="1:56" ht="12.75">
      <c r="A179" s="11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</row>
    <row r="180" spans="1:56" ht="12.75">
      <c r="A180" s="11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</row>
    <row r="181" spans="1:56" ht="12.75">
      <c r="A181" s="11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</row>
    <row r="182" spans="1:56" ht="12.75">
      <c r="A182" s="11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</row>
    <row r="183" spans="1:56" ht="12.75">
      <c r="A183" s="11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</row>
    <row r="184" spans="1:56" ht="12.75">
      <c r="A184" s="11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</row>
    <row r="185" spans="1:56" ht="12.75">
      <c r="A185" s="11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</row>
    <row r="186" spans="1:56" ht="12.75">
      <c r="A186" s="11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</row>
    <row r="187" spans="1:56" ht="12.75">
      <c r="A187" s="11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</row>
    <row r="188" spans="1:56" ht="12.75">
      <c r="A188" s="11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</row>
    <row r="189" spans="1:56" ht="12.75">
      <c r="A189" s="11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</row>
    <row r="190" spans="1:56" ht="12.75">
      <c r="A190" s="11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</row>
    <row r="191" spans="1:56" ht="12.75">
      <c r="A191" s="11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</row>
    <row r="192" spans="1:56" ht="12.75">
      <c r="A192" s="11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</row>
    <row r="193" spans="1:56" ht="12.75">
      <c r="A193" s="11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</row>
    <row r="194" spans="1:56" ht="12.75">
      <c r="A194" s="11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</row>
    <row r="195" spans="1:56" ht="12.75">
      <c r="A195" s="11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</row>
    <row r="196" spans="1:56" ht="12.75">
      <c r="A196" s="11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</row>
    <row r="197" spans="1:56" ht="12.75">
      <c r="A197" s="11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</row>
    <row r="198" spans="1:56" ht="12.75">
      <c r="A198" s="11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</row>
    <row r="199" spans="1:56" ht="12.75">
      <c r="A199" s="11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</row>
    <row r="200" spans="1:56" ht="12.75">
      <c r="A200" s="11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</row>
    <row r="201" spans="1:56" ht="12.75">
      <c r="A201" s="11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</row>
    <row r="202" spans="1:56" ht="12.75">
      <c r="A202" s="11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</row>
    <row r="203" spans="1:56" ht="12.75">
      <c r="A203" s="11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</row>
    <row r="204" spans="1:56" ht="12.75">
      <c r="A204" s="11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</row>
    <row r="205" spans="1:56" ht="12.75">
      <c r="A205" s="11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</row>
    <row r="206" spans="1:56" ht="12.75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</row>
    <row r="207" spans="1:56" ht="12.75">
      <c r="A207" s="11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</row>
    <row r="208" spans="1:56" ht="12.75">
      <c r="A208" s="11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</row>
    <row r="209" spans="1:56" ht="12.75">
      <c r="A209" s="11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</row>
    <row r="210" spans="1:56" ht="12.75">
      <c r="A210" s="11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</row>
    <row r="211" spans="1:56" ht="12.75">
      <c r="A211" s="11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</row>
    <row r="212" spans="1:56" ht="12.75">
      <c r="A212" s="11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</row>
    <row r="213" spans="1:56" ht="12.75">
      <c r="A213" s="11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</row>
    <row r="214" spans="1:56" ht="12.75">
      <c r="A214" s="11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</row>
    <row r="215" spans="1:56" ht="12.75">
      <c r="A215" s="11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</row>
    <row r="216" spans="1:56" ht="12.75">
      <c r="A216" s="11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</row>
    <row r="217" spans="1:56" ht="12.75">
      <c r="A217" s="11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</row>
    <row r="218" spans="1:56" ht="12.75">
      <c r="A218" s="11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</row>
    <row r="219" spans="1:56" ht="12.75">
      <c r="A219" s="11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</row>
    <row r="220" spans="1:56" ht="12.75">
      <c r="A220" s="11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</row>
    <row r="221" spans="1:56" ht="12.75">
      <c r="A221" s="11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</row>
    <row r="222" spans="1:56" ht="12.75">
      <c r="A222" s="11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</row>
    <row r="223" spans="1:56" ht="12.75">
      <c r="A223" s="11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</row>
    <row r="224" spans="1:56" ht="12.75">
      <c r="A224" s="11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</row>
    <row r="225" spans="1:56" ht="12.75">
      <c r="A225" s="11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</row>
    <row r="226" spans="1:56" ht="12.75">
      <c r="A226" s="11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</row>
    <row r="227" spans="1:56" ht="12.75">
      <c r="A227" s="11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</row>
    <row r="228" spans="1:56" ht="12.75">
      <c r="A228" s="11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</row>
    <row r="229" spans="1:56" ht="12.75">
      <c r="A229" s="11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</row>
    <row r="230" spans="1:56" ht="12.75">
      <c r="A230" s="11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</row>
    <row r="231" spans="1:56" ht="12.75">
      <c r="A231" s="11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</row>
    <row r="232" spans="1:56" ht="12.75">
      <c r="A232" s="11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</row>
    <row r="233" spans="1:56" ht="12.75">
      <c r="A233" s="11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</row>
    <row r="234" spans="1:56" ht="12.75">
      <c r="A234" s="11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</row>
    <row r="235" spans="1:56" ht="12.75">
      <c r="A235" s="11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</row>
    <row r="236" spans="1:56" ht="12.75">
      <c r="A236" s="11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</row>
    <row r="237" spans="1:56" ht="12.75">
      <c r="A237" s="11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</row>
    <row r="238" spans="1:56" ht="12.75">
      <c r="A238" s="11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</row>
    <row r="239" spans="1:56" ht="12.75">
      <c r="A239" s="11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</row>
    <row r="240" spans="1:56" ht="12.75">
      <c r="A240" s="11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</row>
    <row r="241" spans="1:56" ht="12.75">
      <c r="A241" s="11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</row>
    <row r="242" spans="1:56" ht="12.75">
      <c r="A242" s="11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</row>
    <row r="243" spans="1:56" ht="12.75">
      <c r="A243" s="11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</row>
    <row r="244" spans="1:56" ht="12.75">
      <c r="A244" s="11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  <c r="BB244" s="12"/>
      <c r="BC244" s="12"/>
      <c r="BD244" s="12"/>
    </row>
    <row r="245" spans="1:56" ht="12.75">
      <c r="A245" s="11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</row>
    <row r="246" spans="1:56" ht="12.75">
      <c r="A246" s="11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</row>
    <row r="247" spans="1:56" ht="12.75">
      <c r="A247" s="11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</row>
    <row r="248" spans="1:56" ht="12.75">
      <c r="A248" s="11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</row>
    <row r="249" spans="1:56" ht="12.75">
      <c r="A249" s="11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</row>
    <row r="250" spans="1:56" ht="12.75">
      <c r="A250" s="11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</row>
    <row r="251" spans="1:56" ht="12.75">
      <c r="A251" s="11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</row>
    <row r="252" spans="1:56" ht="12.75">
      <c r="A252" s="11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</row>
    <row r="253" spans="1:56" ht="12.75">
      <c r="A253" s="11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</row>
    <row r="254" spans="1:56" ht="12.75">
      <c r="A254" s="11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</row>
    <row r="255" spans="1:56" ht="12.75">
      <c r="A255" s="11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  <c r="BD255" s="12"/>
    </row>
    <row r="256" spans="1:56" ht="12.75">
      <c r="A256" s="11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</row>
    <row r="257" spans="1:56" ht="12.75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</row>
    <row r="258" spans="1:56" ht="12.75">
      <c r="A258" s="11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/>
      <c r="BD258" s="12"/>
    </row>
    <row r="259" spans="1:56" ht="12.75">
      <c r="A259" s="11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</row>
    <row r="260" spans="1:56" ht="12.75">
      <c r="A260" s="11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</row>
    <row r="261" spans="1:56" ht="12.75">
      <c r="A261" s="11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</row>
    <row r="262" spans="1:56" ht="12.75">
      <c r="A262" s="11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</row>
    <row r="263" spans="1:56" ht="12.75">
      <c r="A263" s="11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</row>
    <row r="264" spans="1:56" ht="12.75">
      <c r="A264" s="11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</row>
    <row r="265" spans="1:56" ht="12.75">
      <c r="A265" s="11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</row>
    <row r="266" spans="1:56" ht="12.75">
      <c r="A266" s="11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</row>
    <row r="267" spans="1:56" ht="12.75">
      <c r="A267" s="11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</row>
    <row r="268" spans="1:56" ht="12.75">
      <c r="A268" s="11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</row>
    <row r="269" spans="1:56" ht="12.75">
      <c r="A269" s="11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</row>
    <row r="270" spans="1:56" ht="12.75">
      <c r="A270" s="11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</row>
    <row r="271" spans="1:56" ht="12.75">
      <c r="A271" s="11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</row>
    <row r="272" spans="1:56" ht="12.75">
      <c r="A272" s="11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</row>
    <row r="273" spans="1:56" ht="12.75">
      <c r="A273" s="11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</row>
    <row r="274" spans="1:56" ht="12.75">
      <c r="A274" s="11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</row>
    <row r="275" spans="1:56" ht="12.75">
      <c r="A275" s="11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</row>
    <row r="276" spans="1:56" ht="12.75">
      <c r="A276" s="11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</row>
    <row r="277" spans="1:56" ht="12.75">
      <c r="A277" s="11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</row>
    <row r="278" spans="1:56" ht="12.75">
      <c r="A278" s="11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</row>
    <row r="279" spans="1:56" ht="12.75">
      <c r="A279" s="11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</row>
    <row r="280" spans="1:56" ht="12.75">
      <c r="A280" s="11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</row>
    <row r="281" spans="1:56" ht="12.75">
      <c r="A281" s="11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</row>
    <row r="282" spans="1:56" ht="12.75">
      <c r="A282" s="11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</row>
    <row r="283" spans="1:56" ht="12.75">
      <c r="A283" s="11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</row>
    <row r="284" spans="1:56" ht="12.75">
      <c r="A284" s="11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</row>
    <row r="285" spans="1:56" ht="12.75">
      <c r="A285" s="11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</row>
    <row r="286" spans="1:56" ht="12.75">
      <c r="A286" s="11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  <c r="BD286" s="12"/>
    </row>
    <row r="287" spans="1:56" ht="12.75">
      <c r="A287" s="11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  <c r="BA287" s="12"/>
      <c r="BB287" s="12"/>
      <c r="BC287" s="12"/>
      <c r="BD287" s="12"/>
    </row>
    <row r="288" spans="1:56" ht="12.75">
      <c r="A288" s="11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  <c r="BA288" s="12"/>
      <c r="BB288" s="12"/>
      <c r="BC288" s="12"/>
      <c r="BD288" s="12"/>
    </row>
    <row r="289" spans="1:56" ht="12.75">
      <c r="A289" s="11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/>
      <c r="BA289" s="12"/>
      <c r="BB289" s="12"/>
      <c r="BC289" s="12"/>
      <c r="BD289" s="12"/>
    </row>
    <row r="290" spans="1:56" ht="12.75">
      <c r="A290" s="11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</row>
    <row r="291" spans="1:56" ht="12.75">
      <c r="A291" s="11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</row>
    <row r="292" spans="1:56" ht="12.75">
      <c r="A292" s="11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</row>
    <row r="293" spans="1:56" ht="12.75">
      <c r="A293" s="11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</row>
    <row r="294" spans="1:56" ht="12.75">
      <c r="A294" s="11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</row>
    <row r="295" spans="1:56" ht="12.75">
      <c r="A295" s="11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</row>
    <row r="296" spans="1:56" ht="12.75">
      <c r="A296" s="11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</row>
    <row r="297" spans="1:56" ht="12.75">
      <c r="A297" s="11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</row>
    <row r="298" spans="1:56" ht="12.75">
      <c r="A298" s="11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</row>
    <row r="299" spans="1:56" ht="12.75">
      <c r="A299" s="11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</row>
    <row r="300" spans="1:56" ht="12.75">
      <c r="A300" s="11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</row>
    <row r="301" spans="1:56" ht="12.75">
      <c r="A301" s="11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</row>
    <row r="302" spans="1:56" ht="12.75">
      <c r="A302" s="11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  <c r="BD302" s="12"/>
    </row>
    <row r="303" spans="1:56" ht="12.75">
      <c r="A303" s="11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  <c r="BA303" s="12"/>
      <c r="BB303" s="12"/>
      <c r="BC303" s="12"/>
      <c r="BD303" s="12"/>
    </row>
    <row r="304" spans="1:56" ht="12.75">
      <c r="A304" s="11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  <c r="BA304" s="12"/>
      <c r="BB304" s="12"/>
      <c r="BC304" s="12"/>
      <c r="BD304" s="12"/>
    </row>
    <row r="305" spans="1:56" ht="12.75">
      <c r="A305" s="11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  <c r="BD305" s="12"/>
    </row>
    <row r="306" spans="1:56" ht="12.75">
      <c r="A306" s="11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  <c r="BB306" s="12"/>
      <c r="BC306" s="12"/>
      <c r="BD306" s="12"/>
    </row>
    <row r="307" spans="1:56" ht="12.75">
      <c r="A307" s="11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  <c r="BA307" s="12"/>
      <c r="BB307" s="12"/>
      <c r="BC307" s="12"/>
      <c r="BD307" s="12"/>
    </row>
    <row r="308" spans="1:56" ht="12.75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  <c r="BA308" s="12"/>
      <c r="BB308" s="12"/>
      <c r="BC308" s="12"/>
      <c r="BD308" s="12"/>
    </row>
    <row r="309" spans="1:56" ht="12.75">
      <c r="A309" s="11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  <c r="BA309" s="12"/>
      <c r="BB309" s="12"/>
      <c r="BC309" s="12"/>
      <c r="BD309" s="12"/>
    </row>
    <row r="310" spans="1:56" ht="12.75">
      <c r="A310" s="11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  <c r="BA310" s="12"/>
      <c r="BB310" s="12"/>
      <c r="BC310" s="12"/>
      <c r="BD310" s="12"/>
    </row>
    <row r="311" spans="1:56" ht="12.75">
      <c r="A311" s="11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  <c r="BA311" s="12"/>
      <c r="BB311" s="12"/>
      <c r="BC311" s="12"/>
      <c r="BD311" s="12"/>
    </row>
    <row r="312" spans="1:56" ht="12.75">
      <c r="A312" s="11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  <c r="BA312" s="12"/>
      <c r="BB312" s="12"/>
      <c r="BC312" s="12"/>
      <c r="BD312" s="12"/>
    </row>
    <row r="313" spans="1:56" ht="12.75">
      <c r="A313" s="11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  <c r="BA313" s="12"/>
      <c r="BB313" s="12"/>
      <c r="BC313" s="12"/>
      <c r="BD313" s="12"/>
    </row>
    <row r="314" spans="1:56" ht="12.75">
      <c r="A314" s="11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  <c r="BA314" s="12"/>
      <c r="BB314" s="12"/>
      <c r="BC314" s="12"/>
      <c r="BD314" s="12"/>
    </row>
    <row r="315" spans="1:56" ht="12.75">
      <c r="A315" s="11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/>
      <c r="BA315" s="12"/>
      <c r="BB315" s="12"/>
      <c r="BC315" s="12"/>
      <c r="BD315" s="12"/>
    </row>
    <row r="316" spans="1:56" ht="12.75">
      <c r="A316" s="11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  <c r="BA316" s="12"/>
      <c r="BB316" s="12"/>
      <c r="BC316" s="12"/>
      <c r="BD316" s="12"/>
    </row>
    <row r="317" spans="1:56" ht="12.75">
      <c r="A317" s="11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/>
      <c r="BA317" s="12"/>
      <c r="BB317" s="12"/>
      <c r="BC317" s="12"/>
      <c r="BD317" s="12"/>
    </row>
    <row r="318" spans="1:56" ht="12.75">
      <c r="A318" s="11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  <c r="BB318" s="12"/>
      <c r="BC318" s="12"/>
      <c r="BD318" s="12"/>
    </row>
    <row r="319" spans="1:56" ht="12.75">
      <c r="A319" s="11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/>
      <c r="BA319" s="12"/>
      <c r="BB319" s="12"/>
      <c r="BC319" s="12"/>
      <c r="BD319" s="12"/>
    </row>
    <row r="320" spans="1:56" ht="12.75">
      <c r="A320" s="11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  <c r="BA320" s="12"/>
      <c r="BB320" s="12"/>
      <c r="BC320" s="12"/>
      <c r="BD320" s="12"/>
    </row>
    <row r="321" spans="1:56" ht="12.75">
      <c r="A321" s="11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  <c r="BA321" s="12"/>
      <c r="BB321" s="12"/>
      <c r="BC321" s="12"/>
      <c r="BD321" s="12"/>
    </row>
    <row r="322" spans="1:56" ht="12.75">
      <c r="A322" s="11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  <c r="BA322" s="12"/>
      <c r="BB322" s="12"/>
      <c r="BC322" s="12"/>
      <c r="BD322" s="12"/>
    </row>
    <row r="323" spans="1:56" ht="12.75">
      <c r="A323" s="11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/>
      <c r="BA323" s="12"/>
      <c r="BB323" s="12"/>
      <c r="BC323" s="12"/>
      <c r="BD323" s="12"/>
    </row>
    <row r="324" spans="1:56" ht="12.75">
      <c r="A324" s="11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  <c r="BA324" s="12"/>
      <c r="BB324" s="12"/>
      <c r="BC324" s="12"/>
      <c r="BD324" s="12"/>
    </row>
    <row r="325" spans="1:56" ht="12.75">
      <c r="A325" s="11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  <c r="BA325" s="12"/>
      <c r="BB325" s="12"/>
      <c r="BC325" s="12"/>
      <c r="BD325" s="12"/>
    </row>
    <row r="326" spans="1:56" ht="12.75">
      <c r="A326" s="11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  <c r="BA326" s="12"/>
      <c r="BB326" s="12"/>
      <c r="BC326" s="12"/>
      <c r="BD326" s="12"/>
    </row>
    <row r="327" spans="1:56" ht="12.75">
      <c r="A327" s="11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  <c r="AZ327" s="12"/>
      <c r="BA327" s="12"/>
      <c r="BB327" s="12"/>
      <c r="BC327" s="12"/>
      <c r="BD327" s="12"/>
    </row>
    <row r="328" spans="1:56" ht="12.75">
      <c r="A328" s="11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  <c r="BA328" s="12"/>
      <c r="BB328" s="12"/>
      <c r="BC328" s="12"/>
      <c r="BD328" s="12"/>
    </row>
    <row r="329" spans="1:56" ht="12.75">
      <c r="A329" s="11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  <c r="BA329" s="12"/>
      <c r="BB329" s="12"/>
      <c r="BC329" s="12"/>
      <c r="BD329" s="12"/>
    </row>
    <row r="330" spans="1:56" ht="12.75">
      <c r="A330" s="11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  <c r="BA330" s="12"/>
      <c r="BB330" s="12"/>
      <c r="BC330" s="12"/>
      <c r="BD330" s="12"/>
    </row>
    <row r="331" spans="1:56" ht="12.75">
      <c r="A331" s="11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/>
      <c r="BA331" s="12"/>
      <c r="BB331" s="12"/>
      <c r="BC331" s="12"/>
      <c r="BD331" s="12"/>
    </row>
    <row r="332" spans="1:56" ht="12.75">
      <c r="A332" s="11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  <c r="BA332" s="12"/>
      <c r="BB332" s="12"/>
      <c r="BC332" s="12"/>
      <c r="BD332" s="12"/>
    </row>
    <row r="333" spans="1:56" ht="12.75">
      <c r="A333" s="11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  <c r="BA333" s="12"/>
      <c r="BB333" s="12"/>
      <c r="BC333" s="12"/>
      <c r="BD333" s="12"/>
    </row>
    <row r="334" spans="1:56" ht="12.75">
      <c r="A334" s="11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  <c r="BA334" s="12"/>
      <c r="BB334" s="12"/>
      <c r="BC334" s="12"/>
      <c r="BD334" s="12"/>
    </row>
    <row r="335" spans="1:56" ht="12.75">
      <c r="A335" s="11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/>
      <c r="BA335" s="12"/>
      <c r="BB335" s="12"/>
      <c r="BC335" s="12"/>
      <c r="BD335" s="12"/>
    </row>
    <row r="336" spans="1:56" ht="12.75">
      <c r="A336" s="11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  <c r="BA336" s="12"/>
      <c r="BB336" s="12"/>
      <c r="BC336" s="12"/>
      <c r="BD336" s="12"/>
    </row>
    <row r="337" spans="1:56" ht="12.75">
      <c r="A337" s="11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  <c r="BA337" s="12"/>
      <c r="BB337" s="12"/>
      <c r="BC337" s="12"/>
      <c r="BD337" s="12"/>
    </row>
    <row r="338" spans="1:56" ht="12.75">
      <c r="A338" s="11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  <c r="BA338" s="12"/>
      <c r="BB338" s="12"/>
      <c r="BC338" s="12"/>
      <c r="BD338" s="12"/>
    </row>
    <row r="339" spans="1:56" ht="12.75">
      <c r="A339" s="11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/>
      <c r="BA339" s="12"/>
      <c r="BB339" s="12"/>
      <c r="BC339" s="12"/>
      <c r="BD339" s="12"/>
    </row>
    <row r="340" spans="1:56" ht="12.75">
      <c r="A340" s="11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  <c r="BA340" s="12"/>
      <c r="BB340" s="12"/>
      <c r="BC340" s="12"/>
      <c r="BD340" s="12"/>
    </row>
    <row r="341" spans="1:56" ht="12.75">
      <c r="A341" s="11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  <c r="BA341" s="12"/>
      <c r="BB341" s="12"/>
      <c r="BC341" s="12"/>
      <c r="BD341" s="12"/>
    </row>
    <row r="342" spans="1:56" ht="12.75">
      <c r="A342" s="11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  <c r="BA342" s="12"/>
      <c r="BB342" s="12"/>
      <c r="BC342" s="12"/>
      <c r="BD342" s="12"/>
    </row>
    <row r="343" spans="1:56" ht="12.75">
      <c r="A343" s="11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  <c r="BD343" s="12"/>
    </row>
    <row r="344" spans="1:56" ht="12.75">
      <c r="A344" s="11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  <c r="BA344" s="12"/>
      <c r="BB344" s="12"/>
      <c r="BC344" s="12"/>
      <c r="BD344" s="12"/>
    </row>
    <row r="345" spans="1:56" ht="12.75">
      <c r="A345" s="11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  <c r="BA345" s="12"/>
      <c r="BB345" s="12"/>
      <c r="BC345" s="12"/>
      <c r="BD345" s="12"/>
    </row>
    <row r="346" spans="1:56" ht="12.75">
      <c r="A346" s="11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  <c r="BA346" s="12"/>
      <c r="BB346" s="12"/>
      <c r="BC346" s="12"/>
      <c r="BD346" s="12"/>
    </row>
    <row r="347" spans="1:56" ht="12.75">
      <c r="A347" s="11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/>
      <c r="BA347" s="12"/>
      <c r="BB347" s="12"/>
      <c r="BC347" s="12"/>
      <c r="BD347" s="12"/>
    </row>
    <row r="348" spans="1:56" ht="12.75">
      <c r="A348" s="11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  <c r="BA348" s="12"/>
      <c r="BB348" s="12"/>
      <c r="BC348" s="12"/>
      <c r="BD348" s="12"/>
    </row>
    <row r="349" spans="1:56" ht="12.75">
      <c r="A349" s="11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/>
      <c r="BA349" s="12"/>
      <c r="BB349" s="12"/>
      <c r="BC349" s="12"/>
      <c r="BD349" s="12"/>
    </row>
    <row r="350" spans="1:56" ht="12.75">
      <c r="A350" s="11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  <c r="BA350" s="12"/>
      <c r="BB350" s="12"/>
      <c r="BC350" s="12"/>
      <c r="BD350" s="12"/>
    </row>
    <row r="351" spans="1:56" ht="12.75">
      <c r="A351" s="11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  <c r="BA351" s="12"/>
      <c r="BB351" s="12"/>
      <c r="BC351" s="12"/>
      <c r="BD351" s="12"/>
    </row>
    <row r="352" spans="1:56" ht="12.75">
      <c r="A352" s="11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  <c r="BA352" s="12"/>
      <c r="BB352" s="12"/>
      <c r="BC352" s="12"/>
      <c r="BD352" s="12"/>
    </row>
    <row r="353" spans="1:56" ht="12.75">
      <c r="A353" s="11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/>
      <c r="BA353" s="12"/>
      <c r="BB353" s="12"/>
      <c r="BC353" s="12"/>
      <c r="BD353" s="12"/>
    </row>
    <row r="354" spans="1:56" ht="12.75">
      <c r="A354" s="11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  <c r="BA354" s="12"/>
      <c r="BB354" s="12"/>
      <c r="BC354" s="12"/>
      <c r="BD354" s="12"/>
    </row>
    <row r="355" spans="1:56" ht="12.75">
      <c r="A355" s="11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/>
      <c r="BA355" s="12"/>
      <c r="BB355" s="12"/>
      <c r="BC355" s="12"/>
      <c r="BD355" s="12"/>
    </row>
    <row r="356" spans="1:56" ht="12.75">
      <c r="A356" s="11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  <c r="BA356" s="12"/>
      <c r="BB356" s="12"/>
      <c r="BC356" s="12"/>
      <c r="BD356" s="12"/>
    </row>
    <row r="357" spans="1:56" ht="12.75">
      <c r="A357" s="11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  <c r="BA357" s="12"/>
      <c r="BB357" s="12"/>
      <c r="BC357" s="12"/>
      <c r="BD357" s="12"/>
    </row>
    <row r="358" spans="1:56" ht="12.75">
      <c r="A358" s="11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  <c r="BA358" s="12"/>
      <c r="BB358" s="12"/>
      <c r="BC358" s="12"/>
      <c r="BD358" s="12"/>
    </row>
    <row r="359" spans="1:56" ht="12.75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/>
      <c r="BA359" s="12"/>
      <c r="BB359" s="12"/>
      <c r="BC359" s="12"/>
      <c r="BD359" s="12"/>
    </row>
    <row r="360" spans="1:56" ht="12.75">
      <c r="A360" s="11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  <c r="AY360" s="12"/>
      <c r="AZ360" s="12"/>
      <c r="BA360" s="12"/>
      <c r="BB360" s="12"/>
      <c r="BC360" s="12"/>
      <c r="BD360" s="12"/>
    </row>
    <row r="361" spans="1:56" ht="12.75">
      <c r="A361" s="11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12"/>
      <c r="BA361" s="12"/>
      <c r="BB361" s="12"/>
      <c r="BC361" s="12"/>
      <c r="BD361" s="12"/>
    </row>
    <row r="362" spans="1:56" ht="12.75">
      <c r="A362" s="11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  <c r="AY362" s="12"/>
      <c r="AZ362" s="12"/>
      <c r="BA362" s="12"/>
      <c r="BB362" s="12"/>
      <c r="BC362" s="12"/>
      <c r="BD362" s="12"/>
    </row>
    <row r="363" spans="1:56" ht="12.75">
      <c r="A363" s="11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  <c r="AZ363" s="12"/>
      <c r="BA363" s="12"/>
      <c r="BB363" s="12"/>
      <c r="BC363" s="12"/>
      <c r="BD363" s="12"/>
    </row>
    <row r="364" spans="1:56" ht="12.75">
      <c r="A364" s="11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  <c r="AY364" s="12"/>
      <c r="AZ364" s="12"/>
      <c r="BA364" s="12"/>
      <c r="BB364" s="12"/>
      <c r="BC364" s="12"/>
      <c r="BD364" s="12"/>
    </row>
    <row r="365" spans="1:56" ht="12.75">
      <c r="A365" s="11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  <c r="AZ365" s="12"/>
      <c r="BA365" s="12"/>
      <c r="BB365" s="12"/>
      <c r="BC365" s="12"/>
      <c r="BD365" s="12"/>
    </row>
    <row r="366" spans="1:56" ht="12.75">
      <c r="A366" s="11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  <c r="BA366" s="12"/>
      <c r="BB366" s="12"/>
      <c r="BC366" s="12"/>
      <c r="BD366" s="12"/>
    </row>
    <row r="367" spans="1:56" ht="12.75">
      <c r="A367" s="11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/>
      <c r="BA367" s="12"/>
      <c r="BB367" s="12"/>
      <c r="BC367" s="12"/>
      <c r="BD367" s="12"/>
    </row>
    <row r="368" spans="1:56" ht="12.75">
      <c r="A368" s="11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  <c r="BA368" s="12"/>
      <c r="BB368" s="12"/>
      <c r="BC368" s="12"/>
      <c r="BD368" s="12"/>
    </row>
    <row r="369" spans="1:56" ht="12.75">
      <c r="A369" s="11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/>
      <c r="BA369" s="12"/>
      <c r="BB369" s="12"/>
      <c r="BC369" s="12"/>
      <c r="BD369" s="12"/>
    </row>
    <row r="370" spans="1:56" ht="12.75">
      <c r="A370" s="11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  <c r="AZ370" s="12"/>
      <c r="BA370" s="12"/>
      <c r="BB370" s="12"/>
      <c r="BC370" s="12"/>
      <c r="BD370" s="12"/>
    </row>
    <row r="371" spans="1:56" ht="12.75">
      <c r="A371" s="11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  <c r="AZ371" s="12"/>
      <c r="BA371" s="12"/>
      <c r="BB371" s="12"/>
      <c r="BC371" s="12"/>
      <c r="BD371" s="12"/>
    </row>
    <row r="372" spans="1:56" ht="12.75">
      <c r="A372" s="11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  <c r="AY372" s="12"/>
      <c r="AZ372" s="12"/>
      <c r="BA372" s="12"/>
      <c r="BB372" s="12"/>
      <c r="BC372" s="12"/>
      <c r="BD372" s="12"/>
    </row>
    <row r="373" spans="1:56" ht="12.75">
      <c r="A373" s="11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/>
      <c r="BA373" s="12"/>
      <c r="BB373" s="12"/>
      <c r="BC373" s="12"/>
      <c r="BD373" s="12"/>
    </row>
    <row r="374" spans="1:56" ht="12.75">
      <c r="A374" s="11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  <c r="BA374" s="12"/>
      <c r="BB374" s="12"/>
      <c r="BC374" s="12"/>
      <c r="BD374" s="12"/>
    </row>
    <row r="375" spans="1:56" ht="12.75">
      <c r="A375" s="11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/>
      <c r="BA375" s="12"/>
      <c r="BB375" s="12"/>
      <c r="BC375" s="12"/>
      <c r="BD375" s="12"/>
    </row>
    <row r="376" spans="1:56" ht="12.75">
      <c r="A376" s="11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  <c r="BA376" s="12"/>
      <c r="BB376" s="12"/>
      <c r="BC376" s="12"/>
      <c r="BD376" s="12"/>
    </row>
    <row r="377" spans="1:56" ht="12.75">
      <c r="A377" s="11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  <c r="BD377" s="12"/>
    </row>
    <row r="378" spans="1:56" ht="12.75">
      <c r="A378" s="11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  <c r="BD378" s="12"/>
    </row>
    <row r="379" spans="1:56" ht="12.75">
      <c r="A379" s="11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  <c r="BA379" s="12"/>
      <c r="BB379" s="12"/>
      <c r="BC379" s="12"/>
      <c r="BD379" s="12"/>
    </row>
    <row r="380" spans="1:56" ht="12.75">
      <c r="A380" s="11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12"/>
    </row>
    <row r="381" spans="1:56" ht="12.75">
      <c r="A381" s="11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  <c r="BA381" s="12"/>
      <c r="BB381" s="12"/>
      <c r="BC381" s="12"/>
      <c r="BD381" s="12"/>
    </row>
    <row r="382" spans="1:56" ht="12.75">
      <c r="A382" s="11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  <c r="BD382" s="12"/>
    </row>
    <row r="383" spans="1:56" ht="12.75">
      <c r="A383" s="11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  <c r="BA383" s="12"/>
      <c r="BB383" s="12"/>
      <c r="BC383" s="12"/>
      <c r="BD383" s="12"/>
    </row>
    <row r="384" spans="1:56" ht="12.75">
      <c r="A384" s="11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  <c r="BA384" s="12"/>
      <c r="BB384" s="12"/>
      <c r="BC384" s="12"/>
      <c r="BD384" s="12"/>
    </row>
    <row r="385" spans="1:56" ht="12.75">
      <c r="A385" s="11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  <c r="BA385" s="12"/>
      <c r="BB385" s="12"/>
      <c r="BC385" s="12"/>
      <c r="BD385" s="12"/>
    </row>
    <row r="386" spans="1:56" ht="12.75">
      <c r="A386" s="11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  <c r="BA386" s="12"/>
      <c r="BB386" s="12"/>
      <c r="BC386" s="12"/>
      <c r="BD386" s="12"/>
    </row>
    <row r="387" spans="1:56" ht="12.75">
      <c r="A387" s="11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  <c r="AZ387" s="12"/>
      <c r="BA387" s="12"/>
      <c r="BB387" s="12"/>
      <c r="BC387" s="12"/>
      <c r="BD387" s="12"/>
    </row>
    <row r="388" spans="1:56" ht="12.75">
      <c r="A388" s="11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  <c r="BA388" s="12"/>
      <c r="BB388" s="12"/>
      <c r="BC388" s="12"/>
      <c r="BD388" s="12"/>
    </row>
    <row r="389" spans="1:56" ht="12.75">
      <c r="A389" s="11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/>
      <c r="BA389" s="12"/>
      <c r="BB389" s="12"/>
      <c r="BC389" s="12"/>
      <c r="BD389" s="12"/>
    </row>
    <row r="390" spans="1:56" ht="12.75">
      <c r="A390" s="11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  <c r="BA390" s="12"/>
      <c r="BB390" s="12"/>
      <c r="BC390" s="12"/>
      <c r="BD390" s="12"/>
    </row>
    <row r="391" spans="1:56" ht="12.75">
      <c r="A391" s="11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  <c r="AZ391" s="12"/>
      <c r="BA391" s="12"/>
      <c r="BB391" s="12"/>
      <c r="BC391" s="12"/>
      <c r="BD391" s="12"/>
    </row>
    <row r="392" spans="1:56" ht="12.75">
      <c r="A392" s="11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  <c r="AY392" s="12"/>
      <c r="AZ392" s="12"/>
      <c r="BA392" s="12"/>
      <c r="BB392" s="12"/>
      <c r="BC392" s="12"/>
      <c r="BD392" s="12"/>
    </row>
    <row r="393" spans="1:56" ht="12.75">
      <c r="A393" s="11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  <c r="AZ393" s="12"/>
      <c r="BA393" s="12"/>
      <c r="BB393" s="12"/>
      <c r="BC393" s="12"/>
      <c r="BD393" s="12"/>
    </row>
    <row r="394" spans="1:56" ht="12.75">
      <c r="A394" s="11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  <c r="AY394" s="12"/>
      <c r="AZ394" s="12"/>
      <c r="BA394" s="12"/>
      <c r="BB394" s="12"/>
      <c r="BC394" s="12"/>
      <c r="BD394" s="12"/>
    </row>
    <row r="395" spans="1:56" ht="12.75">
      <c r="A395" s="11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  <c r="AZ395" s="12"/>
      <c r="BA395" s="12"/>
      <c r="BB395" s="12"/>
      <c r="BC395" s="12"/>
      <c r="BD395" s="12"/>
    </row>
    <row r="396" spans="1:56" ht="12.75">
      <c r="A396" s="11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  <c r="AY396" s="12"/>
      <c r="AZ396" s="12"/>
      <c r="BA396" s="12"/>
      <c r="BB396" s="12"/>
      <c r="BC396" s="12"/>
      <c r="BD396" s="12"/>
    </row>
    <row r="397" spans="1:56" ht="12.75">
      <c r="A397" s="11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  <c r="AY397" s="12"/>
      <c r="AZ397" s="12"/>
      <c r="BA397" s="12"/>
      <c r="BB397" s="12"/>
      <c r="BC397" s="12"/>
      <c r="BD397" s="12"/>
    </row>
    <row r="398" spans="1:56" ht="12.75">
      <c r="A398" s="11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  <c r="BA398" s="12"/>
      <c r="BB398" s="12"/>
      <c r="BC398" s="12"/>
      <c r="BD398" s="12"/>
    </row>
    <row r="399" spans="1:56" ht="12.75">
      <c r="A399" s="11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/>
      <c r="BA399" s="12"/>
      <c r="BB399" s="12"/>
      <c r="BC399" s="12"/>
      <c r="BD399" s="12"/>
    </row>
    <row r="400" spans="1:56" ht="12.75">
      <c r="A400" s="11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  <c r="AY400" s="12"/>
      <c r="AZ400" s="12"/>
      <c r="BA400" s="12"/>
      <c r="BB400" s="12"/>
      <c r="BC400" s="12"/>
      <c r="BD400" s="12"/>
    </row>
    <row r="401" spans="1:56" ht="12.75">
      <c r="A401" s="11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  <c r="AZ401" s="12"/>
      <c r="BA401" s="12"/>
      <c r="BB401" s="12"/>
      <c r="BC401" s="12"/>
      <c r="BD401" s="12"/>
    </row>
    <row r="402" spans="1:56" ht="12.75">
      <c r="A402" s="11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  <c r="AY402" s="12"/>
      <c r="AZ402" s="12"/>
      <c r="BA402" s="12"/>
      <c r="BB402" s="12"/>
      <c r="BC402" s="12"/>
      <c r="BD402" s="12"/>
    </row>
    <row r="403" spans="1:56" ht="12.75">
      <c r="A403" s="11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  <c r="AY403" s="12"/>
      <c r="AZ403" s="12"/>
      <c r="BA403" s="12"/>
      <c r="BB403" s="12"/>
      <c r="BC403" s="12"/>
      <c r="BD403" s="12"/>
    </row>
    <row r="404" spans="1:56" ht="12.75">
      <c r="A404" s="11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  <c r="AZ404" s="12"/>
      <c r="BA404" s="12"/>
      <c r="BB404" s="12"/>
      <c r="BC404" s="12"/>
      <c r="BD404" s="12"/>
    </row>
    <row r="405" spans="1:56" ht="12.75">
      <c r="A405" s="11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  <c r="AY405" s="12"/>
      <c r="AZ405" s="12"/>
      <c r="BA405" s="12"/>
      <c r="BB405" s="12"/>
      <c r="BC405" s="12"/>
      <c r="BD405" s="12"/>
    </row>
    <row r="406" spans="1:56" ht="12.75">
      <c r="A406" s="11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  <c r="AY406" s="12"/>
      <c r="AZ406" s="12"/>
      <c r="BA406" s="12"/>
      <c r="BB406" s="12"/>
      <c r="BC406" s="12"/>
      <c r="BD406" s="12"/>
    </row>
    <row r="407" spans="1:56" ht="12.75">
      <c r="A407" s="11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  <c r="AY407" s="12"/>
      <c r="AZ407" s="12"/>
      <c r="BA407" s="12"/>
      <c r="BB407" s="12"/>
      <c r="BC407" s="12"/>
      <c r="BD407" s="12"/>
    </row>
    <row r="408" spans="1:56" ht="12.75">
      <c r="A408" s="11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  <c r="AZ408" s="12"/>
      <c r="BA408" s="12"/>
      <c r="BB408" s="12"/>
      <c r="BC408" s="12"/>
      <c r="BD408" s="12"/>
    </row>
    <row r="409" spans="1:56" ht="12.75">
      <c r="A409" s="11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  <c r="AZ409" s="12"/>
      <c r="BA409" s="12"/>
      <c r="BB409" s="12"/>
      <c r="BC409" s="12"/>
      <c r="BD409" s="12"/>
    </row>
    <row r="410" spans="1:56" ht="12.75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  <c r="BA410" s="12"/>
      <c r="BB410" s="12"/>
      <c r="BC410" s="12"/>
      <c r="BD410" s="12"/>
    </row>
    <row r="411" spans="1:56" ht="12.75">
      <c r="A411" s="11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  <c r="AZ411" s="12"/>
      <c r="BA411" s="12"/>
      <c r="BB411" s="12"/>
      <c r="BC411" s="12"/>
      <c r="BD411" s="12"/>
    </row>
    <row r="412" spans="1:56" ht="12.75">
      <c r="A412" s="11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  <c r="BA412" s="12"/>
      <c r="BB412" s="12"/>
      <c r="BC412" s="12"/>
      <c r="BD412" s="12"/>
    </row>
    <row r="413" spans="1:56" ht="12.75">
      <c r="A413" s="11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  <c r="AZ413" s="12"/>
      <c r="BA413" s="12"/>
      <c r="BB413" s="12"/>
      <c r="BC413" s="12"/>
      <c r="BD413" s="12"/>
    </row>
    <row r="414" spans="1:56" ht="12.75">
      <c r="A414" s="11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  <c r="AY414" s="12"/>
      <c r="AZ414" s="12"/>
      <c r="BA414" s="12"/>
      <c r="BB414" s="12"/>
      <c r="BC414" s="12"/>
      <c r="BD414" s="12"/>
    </row>
    <row r="415" spans="1:56" ht="12.75">
      <c r="A415" s="11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2"/>
      <c r="AZ415" s="12"/>
      <c r="BA415" s="12"/>
      <c r="BB415" s="12"/>
      <c r="BC415" s="12"/>
      <c r="BD415" s="12"/>
    </row>
    <row r="416" spans="1:56" ht="12.75">
      <c r="A416" s="11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  <c r="BA416" s="12"/>
      <c r="BB416" s="12"/>
      <c r="BC416" s="12"/>
      <c r="BD416" s="12"/>
    </row>
    <row r="417" spans="1:56" ht="12.75">
      <c r="A417" s="11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  <c r="AY417" s="12"/>
      <c r="AZ417" s="12"/>
      <c r="BA417" s="12"/>
      <c r="BB417" s="12"/>
      <c r="BC417" s="12"/>
      <c r="BD417" s="12"/>
    </row>
    <row r="418" spans="1:56" ht="12.75">
      <c r="A418" s="11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  <c r="AY418" s="12"/>
      <c r="AZ418" s="12"/>
      <c r="BA418" s="12"/>
      <c r="BB418" s="12"/>
      <c r="BC418" s="12"/>
      <c r="BD418" s="12"/>
    </row>
    <row r="419" spans="1:56" ht="12.75">
      <c r="A419" s="11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  <c r="AZ419" s="12"/>
      <c r="BA419" s="12"/>
      <c r="BB419" s="12"/>
      <c r="BC419" s="12"/>
      <c r="BD419" s="12"/>
    </row>
    <row r="420" spans="1:56" ht="12.75">
      <c r="A420" s="11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  <c r="AZ420" s="12"/>
      <c r="BA420" s="12"/>
      <c r="BB420" s="12"/>
      <c r="BC420" s="12"/>
      <c r="BD420" s="12"/>
    </row>
    <row r="421" spans="1:56" ht="12.75">
      <c r="A421" s="11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2"/>
      <c r="AZ421" s="12"/>
      <c r="BA421" s="12"/>
      <c r="BB421" s="12"/>
      <c r="BC421" s="12"/>
      <c r="BD421" s="12"/>
    </row>
    <row r="422" spans="1:56" ht="12.75">
      <c r="A422" s="11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  <c r="BA422" s="12"/>
      <c r="BB422" s="12"/>
      <c r="BC422" s="12"/>
      <c r="BD422" s="12"/>
    </row>
    <row r="423" spans="1:56" ht="12.75">
      <c r="A423" s="11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  <c r="AZ423" s="12"/>
      <c r="BA423" s="12"/>
      <c r="BB423" s="12"/>
      <c r="BC423" s="12"/>
      <c r="BD423" s="12"/>
    </row>
    <row r="424" spans="1:56" ht="12.75">
      <c r="A424" s="11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  <c r="BA424" s="12"/>
      <c r="BB424" s="12"/>
      <c r="BC424" s="12"/>
      <c r="BD424" s="12"/>
    </row>
    <row r="425" spans="1:56" ht="12.75">
      <c r="A425" s="11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  <c r="AZ425" s="12"/>
      <c r="BA425" s="12"/>
      <c r="BB425" s="12"/>
      <c r="BC425" s="12"/>
      <c r="BD425" s="12"/>
    </row>
    <row r="426" spans="1:56" ht="12.75">
      <c r="A426" s="11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  <c r="AZ426" s="12"/>
      <c r="BA426" s="12"/>
      <c r="BB426" s="12"/>
      <c r="BC426" s="12"/>
      <c r="BD426" s="12"/>
    </row>
    <row r="427" spans="1:56" ht="12.75">
      <c r="A427" s="11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/>
      <c r="BA427" s="12"/>
      <c r="BB427" s="12"/>
      <c r="BC427" s="12"/>
      <c r="BD427" s="12"/>
    </row>
    <row r="428" spans="1:56" ht="12.75">
      <c r="A428" s="11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  <c r="AZ428" s="12"/>
      <c r="BA428" s="12"/>
      <c r="BB428" s="12"/>
      <c r="BC428" s="12"/>
      <c r="BD428" s="12"/>
    </row>
    <row r="429" spans="1:56" ht="12.75">
      <c r="A429" s="11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  <c r="AZ429" s="12"/>
      <c r="BA429" s="12"/>
      <c r="BB429" s="12"/>
      <c r="BC429" s="12"/>
      <c r="BD429" s="12"/>
    </row>
    <row r="430" spans="1:56" ht="12.75">
      <c r="A430" s="11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  <c r="AZ430" s="12"/>
      <c r="BA430" s="12"/>
      <c r="BB430" s="12"/>
      <c r="BC430" s="12"/>
      <c r="BD430" s="12"/>
    </row>
    <row r="431" spans="1:56" ht="12.75">
      <c r="A431" s="11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  <c r="AZ431" s="12"/>
      <c r="BA431" s="12"/>
      <c r="BB431" s="12"/>
      <c r="BC431" s="12"/>
      <c r="BD431" s="12"/>
    </row>
    <row r="432" spans="1:56" ht="12.75">
      <c r="A432" s="11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  <c r="AZ432" s="12"/>
      <c r="BA432" s="12"/>
      <c r="BB432" s="12"/>
      <c r="BC432" s="12"/>
      <c r="BD432" s="12"/>
    </row>
    <row r="433" spans="1:56" ht="12.75">
      <c r="A433" s="11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  <c r="AZ433" s="12"/>
      <c r="BA433" s="12"/>
      <c r="BB433" s="12"/>
      <c r="BC433" s="12"/>
      <c r="BD433" s="12"/>
    </row>
    <row r="434" spans="1:56" ht="12.75">
      <c r="A434" s="11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  <c r="AZ434" s="12"/>
      <c r="BA434" s="12"/>
      <c r="BB434" s="12"/>
      <c r="BC434" s="12"/>
      <c r="BD434" s="12"/>
    </row>
    <row r="435" spans="1:56" ht="12.75">
      <c r="A435" s="11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  <c r="AZ435" s="12"/>
      <c r="BA435" s="12"/>
      <c r="BB435" s="12"/>
      <c r="BC435" s="12"/>
      <c r="BD435" s="12"/>
    </row>
    <row r="436" spans="1:56" ht="12.75">
      <c r="A436" s="11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  <c r="AZ436" s="12"/>
      <c r="BA436" s="12"/>
      <c r="BB436" s="12"/>
      <c r="BC436" s="12"/>
      <c r="BD436" s="12"/>
    </row>
    <row r="437" spans="1:56" ht="12.75">
      <c r="A437" s="11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  <c r="AZ437" s="12"/>
      <c r="BA437" s="12"/>
      <c r="BB437" s="12"/>
      <c r="BC437" s="12"/>
      <c r="BD437" s="12"/>
    </row>
    <row r="438" spans="1:56" ht="12.75">
      <c r="A438" s="11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  <c r="AY438" s="12"/>
      <c r="AZ438" s="12"/>
      <c r="BA438" s="12"/>
      <c r="BB438" s="12"/>
      <c r="BC438" s="12"/>
      <c r="BD438" s="12"/>
    </row>
    <row r="439" spans="1:56" ht="12.75">
      <c r="A439" s="11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  <c r="AZ439" s="12"/>
      <c r="BA439" s="12"/>
      <c r="BB439" s="12"/>
      <c r="BC439" s="12"/>
      <c r="BD439" s="12"/>
    </row>
    <row r="440" spans="1:56" ht="12.75">
      <c r="A440" s="11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  <c r="AY440" s="12"/>
      <c r="AZ440" s="12"/>
      <c r="BA440" s="12"/>
      <c r="BB440" s="12"/>
      <c r="BC440" s="12"/>
      <c r="BD440" s="12"/>
    </row>
    <row r="441" spans="1:56" ht="12.75">
      <c r="A441" s="11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  <c r="AZ441" s="12"/>
      <c r="BA441" s="12"/>
      <c r="BB441" s="12"/>
      <c r="BC441" s="12"/>
      <c r="BD441" s="12"/>
    </row>
    <row r="442" spans="1:56" ht="12.75">
      <c r="A442" s="11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  <c r="AZ442" s="12"/>
      <c r="BA442" s="12"/>
      <c r="BB442" s="12"/>
      <c r="BC442" s="12"/>
      <c r="BD442" s="12"/>
    </row>
    <row r="443" spans="1:56" ht="12.75">
      <c r="A443" s="11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  <c r="AZ443" s="12"/>
      <c r="BA443" s="12"/>
      <c r="BB443" s="12"/>
      <c r="BC443" s="12"/>
      <c r="BD443" s="12"/>
    </row>
    <row r="444" spans="1:56" ht="12.75">
      <c r="A444" s="11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  <c r="AZ444" s="12"/>
      <c r="BA444" s="12"/>
      <c r="BB444" s="12"/>
      <c r="BC444" s="12"/>
      <c r="BD444" s="12"/>
    </row>
    <row r="445" spans="1:56" ht="12.75">
      <c r="A445" s="11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/>
      <c r="BA445" s="12"/>
      <c r="BB445" s="12"/>
      <c r="BC445" s="12"/>
      <c r="BD445" s="12"/>
    </row>
    <row r="446" spans="1:56" ht="12.75">
      <c r="A446" s="11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  <c r="AZ446" s="12"/>
      <c r="BA446" s="12"/>
      <c r="BB446" s="12"/>
      <c r="BC446" s="12"/>
      <c r="BD446" s="12"/>
    </row>
    <row r="447" spans="1:56" ht="12.75">
      <c r="A447" s="11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  <c r="AZ447" s="12"/>
      <c r="BA447" s="12"/>
      <c r="BB447" s="12"/>
      <c r="BC447" s="12"/>
      <c r="BD447" s="12"/>
    </row>
    <row r="448" spans="1:56" ht="12.75">
      <c r="A448" s="11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  <c r="AZ448" s="12"/>
      <c r="BA448" s="12"/>
      <c r="BB448" s="12"/>
      <c r="BC448" s="12"/>
      <c r="BD448" s="12"/>
    </row>
    <row r="449" spans="1:56" ht="12.75">
      <c r="A449" s="11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/>
      <c r="BA449" s="12"/>
      <c r="BB449" s="12"/>
      <c r="BC449" s="12"/>
      <c r="BD449" s="12"/>
    </row>
    <row r="450" spans="1:56" ht="12.75">
      <c r="A450" s="11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  <c r="AZ450" s="12"/>
      <c r="BA450" s="12"/>
      <c r="BB450" s="12"/>
      <c r="BC450" s="12"/>
      <c r="BD450" s="12"/>
    </row>
    <row r="451" spans="1:56" ht="12.75">
      <c r="A451" s="11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  <c r="AZ451" s="12"/>
      <c r="BA451" s="12"/>
      <c r="BB451" s="12"/>
      <c r="BC451" s="12"/>
      <c r="BD451" s="12"/>
    </row>
    <row r="452" spans="1:56" ht="12.75">
      <c r="A452" s="11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  <c r="AY452" s="12"/>
      <c r="AZ452" s="12"/>
      <c r="BA452" s="12"/>
      <c r="BB452" s="12"/>
      <c r="BC452" s="12"/>
      <c r="BD452" s="12"/>
    </row>
    <row r="453" spans="1:56" ht="12.75">
      <c r="A453" s="11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  <c r="AZ453" s="12"/>
      <c r="BA453" s="12"/>
      <c r="BB453" s="12"/>
      <c r="BC453" s="12"/>
      <c r="BD453" s="12"/>
    </row>
    <row r="454" spans="1:56" ht="12.75">
      <c r="A454" s="11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  <c r="AY454" s="12"/>
      <c r="AZ454" s="12"/>
      <c r="BA454" s="12"/>
      <c r="BB454" s="12"/>
      <c r="BC454" s="12"/>
      <c r="BD454" s="12"/>
    </row>
    <row r="455" spans="1:56" ht="12.75">
      <c r="A455" s="11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  <c r="AZ455" s="12"/>
      <c r="BA455" s="12"/>
      <c r="BB455" s="12"/>
      <c r="BC455" s="12"/>
      <c r="BD455" s="12"/>
    </row>
    <row r="456" spans="1:56" ht="12.75">
      <c r="A456" s="11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  <c r="AY456" s="12"/>
      <c r="AZ456" s="12"/>
      <c r="BA456" s="12"/>
      <c r="BB456" s="12"/>
      <c r="BC456" s="12"/>
      <c r="BD456" s="12"/>
    </row>
    <row r="457" spans="1:56" ht="12.75">
      <c r="A457" s="11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  <c r="AY457" s="12"/>
      <c r="AZ457" s="12"/>
      <c r="BA457" s="12"/>
      <c r="BB457" s="12"/>
      <c r="BC457" s="12"/>
      <c r="BD457" s="12"/>
    </row>
    <row r="458" spans="1:56" ht="12.75">
      <c r="A458" s="11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  <c r="AY458" s="12"/>
      <c r="AZ458" s="12"/>
      <c r="BA458" s="12"/>
      <c r="BB458" s="12"/>
      <c r="BC458" s="12"/>
      <c r="BD458" s="12"/>
    </row>
    <row r="459" spans="1:56" ht="12.75">
      <c r="A459" s="11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  <c r="AY459" s="12"/>
      <c r="AZ459" s="12"/>
      <c r="BA459" s="12"/>
      <c r="BB459" s="12"/>
      <c r="BC459" s="12"/>
      <c r="BD459" s="12"/>
    </row>
    <row r="460" spans="1:56" ht="12.75">
      <c r="A460" s="11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  <c r="AY460" s="12"/>
      <c r="AZ460" s="12"/>
      <c r="BA460" s="12"/>
      <c r="BB460" s="12"/>
      <c r="BC460" s="12"/>
      <c r="BD460" s="12"/>
    </row>
    <row r="461" spans="1:56" ht="12.75">
      <c r="A461" s="11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  <c r="AY461" s="12"/>
      <c r="AZ461" s="12"/>
      <c r="BA461" s="12"/>
      <c r="BB461" s="12"/>
      <c r="BC461" s="12"/>
      <c r="BD461" s="12"/>
    </row>
    <row r="462" spans="1:56" ht="12.75">
      <c r="A462" s="11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  <c r="AY462" s="12"/>
      <c r="AZ462" s="12"/>
      <c r="BA462" s="12"/>
      <c r="BB462" s="12"/>
      <c r="BC462" s="12"/>
      <c r="BD462" s="12"/>
    </row>
    <row r="463" spans="1:56" ht="12.75">
      <c r="A463" s="11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  <c r="AY463" s="12"/>
      <c r="AZ463" s="12"/>
      <c r="BA463" s="12"/>
      <c r="BB463" s="12"/>
      <c r="BC463" s="12"/>
      <c r="BD463" s="12"/>
    </row>
    <row r="464" spans="1:56" ht="12.75">
      <c r="A464" s="11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  <c r="AY464" s="12"/>
      <c r="AZ464" s="12"/>
      <c r="BA464" s="12"/>
      <c r="BB464" s="12"/>
      <c r="BC464" s="12"/>
      <c r="BD464" s="12"/>
    </row>
    <row r="465" spans="1:56" ht="12.75">
      <c r="A465" s="11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  <c r="AY465" s="12"/>
      <c r="AZ465" s="12"/>
      <c r="BA465" s="12"/>
      <c r="BB465" s="12"/>
      <c r="BC465" s="12"/>
      <c r="BD465" s="12"/>
    </row>
    <row r="466" spans="1:56" ht="12.75">
      <c r="A466" s="11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  <c r="AY466" s="12"/>
      <c r="AZ466" s="12"/>
      <c r="BA466" s="12"/>
      <c r="BB466" s="12"/>
      <c r="BC466" s="12"/>
      <c r="BD466" s="12"/>
    </row>
    <row r="467" spans="1:56" ht="12.75">
      <c r="A467" s="11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  <c r="AY467" s="12"/>
      <c r="AZ467" s="12"/>
      <c r="BA467" s="12"/>
      <c r="BB467" s="12"/>
      <c r="BC467" s="12"/>
      <c r="BD467" s="12"/>
    </row>
    <row r="468" spans="1:56" ht="12.75">
      <c r="A468" s="11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  <c r="AY468" s="12"/>
      <c r="AZ468" s="12"/>
      <c r="BA468" s="12"/>
      <c r="BB468" s="12"/>
      <c r="BC468" s="12"/>
      <c r="BD468" s="12"/>
    </row>
    <row r="469" spans="1:56" ht="12.75">
      <c r="A469" s="11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  <c r="AY469" s="12"/>
      <c r="AZ469" s="12"/>
      <c r="BA469" s="12"/>
      <c r="BB469" s="12"/>
      <c r="BC469" s="12"/>
      <c r="BD469" s="12"/>
    </row>
    <row r="470" spans="1:56" ht="12.75">
      <c r="A470" s="11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  <c r="AY470" s="12"/>
      <c r="AZ470" s="12"/>
      <c r="BA470" s="12"/>
      <c r="BB470" s="12"/>
      <c r="BC470" s="12"/>
      <c r="BD470" s="12"/>
    </row>
    <row r="471" spans="1:56" ht="12.75">
      <c r="A471" s="11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  <c r="AZ471" s="12"/>
      <c r="BA471" s="12"/>
      <c r="BB471" s="12"/>
      <c r="BC471" s="12"/>
      <c r="BD471" s="12"/>
    </row>
    <row r="472" spans="1:56" ht="12.75">
      <c r="A472" s="11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  <c r="AY472" s="12"/>
      <c r="AZ472" s="12"/>
      <c r="BA472" s="12"/>
      <c r="BB472" s="12"/>
      <c r="BC472" s="12"/>
      <c r="BD472" s="12"/>
    </row>
    <row r="473" spans="1:56" ht="12.75">
      <c r="A473" s="11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  <c r="AY473" s="12"/>
      <c r="AZ473" s="12"/>
      <c r="BA473" s="12"/>
      <c r="BB473" s="12"/>
      <c r="BC473" s="12"/>
      <c r="BD473" s="12"/>
    </row>
    <row r="474" spans="1:56" ht="12.75">
      <c r="A474" s="11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  <c r="AY474" s="12"/>
      <c r="AZ474" s="12"/>
      <c r="BA474" s="12"/>
      <c r="BB474" s="12"/>
      <c r="BC474" s="12"/>
      <c r="BD474" s="12"/>
    </row>
    <row r="475" spans="1:56" ht="12.75">
      <c r="A475" s="11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  <c r="AY475" s="12"/>
      <c r="AZ475" s="12"/>
      <c r="BA475" s="12"/>
      <c r="BB475" s="12"/>
      <c r="BC475" s="12"/>
      <c r="BD475" s="12"/>
    </row>
    <row r="476" spans="1:56" ht="12.75">
      <c r="A476" s="11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  <c r="AY476" s="12"/>
      <c r="AZ476" s="12"/>
      <c r="BA476" s="12"/>
      <c r="BB476" s="12"/>
      <c r="BC476" s="12"/>
      <c r="BD476" s="12"/>
    </row>
    <row r="477" spans="1:56" ht="12.75">
      <c r="A477" s="11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  <c r="AY477" s="12"/>
      <c r="AZ477" s="12"/>
      <c r="BA477" s="12"/>
      <c r="BB477" s="12"/>
      <c r="BC477" s="12"/>
      <c r="BD477" s="12"/>
    </row>
    <row r="478" spans="1:56" ht="12.75">
      <c r="A478" s="11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  <c r="AY478" s="12"/>
      <c r="AZ478" s="12"/>
      <c r="BA478" s="12"/>
      <c r="BB478" s="12"/>
      <c r="BC478" s="12"/>
      <c r="BD478" s="12"/>
    </row>
    <row r="479" spans="1:56" ht="12.75">
      <c r="A479" s="11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  <c r="AY479" s="12"/>
      <c r="AZ479" s="12"/>
      <c r="BA479" s="12"/>
      <c r="BB479" s="12"/>
      <c r="BC479" s="12"/>
      <c r="BD479" s="12"/>
    </row>
    <row r="480" spans="1:56" ht="12.75">
      <c r="A480" s="11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  <c r="AY480" s="12"/>
      <c r="AZ480" s="12"/>
      <c r="BA480" s="12"/>
      <c r="BB480" s="12"/>
      <c r="BC480" s="12"/>
      <c r="BD480" s="12"/>
    </row>
    <row r="481" spans="1:56" ht="12.75">
      <c r="A481" s="11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  <c r="AZ481" s="12"/>
      <c r="BA481" s="12"/>
      <c r="BB481" s="12"/>
      <c r="BC481" s="12"/>
      <c r="BD481" s="12"/>
    </row>
    <row r="482" spans="1:56" ht="12.75">
      <c r="A482" s="11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  <c r="AY482" s="12"/>
      <c r="AZ482" s="12"/>
      <c r="BA482" s="12"/>
      <c r="BB482" s="12"/>
      <c r="BC482" s="12"/>
      <c r="BD482" s="12"/>
    </row>
    <row r="483" spans="1:56" ht="12.75">
      <c r="A483" s="11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  <c r="AZ483" s="12"/>
      <c r="BA483" s="12"/>
      <c r="BB483" s="12"/>
      <c r="BC483" s="12"/>
      <c r="BD483" s="12"/>
    </row>
    <row r="484" spans="1:56" ht="12.75">
      <c r="A484" s="11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  <c r="AY484" s="12"/>
      <c r="AZ484" s="12"/>
      <c r="BA484" s="12"/>
      <c r="BB484" s="12"/>
      <c r="BC484" s="12"/>
      <c r="BD484" s="12"/>
    </row>
    <row r="485" spans="1:56" ht="12.75">
      <c r="A485" s="11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  <c r="AZ485" s="12"/>
      <c r="BA485" s="12"/>
      <c r="BB485" s="12"/>
      <c r="BC485" s="12"/>
      <c r="BD485" s="12"/>
    </row>
    <row r="486" spans="1:56" ht="12.75">
      <c r="A486" s="11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  <c r="AY486" s="12"/>
      <c r="AZ486" s="12"/>
      <c r="BA486" s="12"/>
      <c r="BB486" s="12"/>
      <c r="BC486" s="12"/>
      <c r="BD486" s="12"/>
    </row>
    <row r="487" spans="1:56" ht="12.75">
      <c r="A487" s="11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  <c r="AZ487" s="12"/>
      <c r="BA487" s="12"/>
      <c r="BB487" s="12"/>
      <c r="BC487" s="12"/>
      <c r="BD487" s="12"/>
    </row>
    <row r="488" spans="1:56" ht="12.75">
      <c r="A488" s="11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  <c r="AY488" s="12"/>
      <c r="AZ488" s="12"/>
      <c r="BA488" s="12"/>
      <c r="BB488" s="12"/>
      <c r="BC488" s="12"/>
      <c r="BD488" s="12"/>
    </row>
    <row r="489" spans="1:56" ht="12.75">
      <c r="A489" s="11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/>
      <c r="BA489" s="12"/>
      <c r="BB489" s="12"/>
      <c r="BC489" s="12"/>
      <c r="BD489" s="12"/>
    </row>
    <row r="490" spans="1:56" ht="12.75">
      <c r="A490" s="11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  <c r="AY490" s="12"/>
      <c r="AZ490" s="12"/>
      <c r="BA490" s="12"/>
      <c r="BB490" s="12"/>
      <c r="BC490" s="12"/>
      <c r="BD490" s="12"/>
    </row>
    <row r="491" spans="1:56" ht="12.75">
      <c r="A491" s="11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  <c r="AZ491" s="12"/>
      <c r="BA491" s="12"/>
      <c r="BB491" s="12"/>
      <c r="BC491" s="12"/>
      <c r="BD491" s="12"/>
    </row>
    <row r="492" spans="1:56" ht="12.75">
      <c r="A492" s="11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  <c r="AZ492" s="12"/>
      <c r="BA492" s="12"/>
      <c r="BB492" s="12"/>
      <c r="BC492" s="12"/>
      <c r="BD492" s="12"/>
    </row>
    <row r="493" spans="1:56" ht="12.75">
      <c r="A493" s="11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  <c r="AZ493" s="12"/>
      <c r="BA493" s="12"/>
      <c r="BB493" s="12"/>
      <c r="BC493" s="12"/>
      <c r="BD493" s="12"/>
    </row>
    <row r="494" spans="1:56" ht="12.75">
      <c r="A494" s="11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12"/>
      <c r="AZ494" s="12"/>
      <c r="BA494" s="12"/>
      <c r="BB494" s="12"/>
      <c r="BC494" s="12"/>
      <c r="BD494" s="12"/>
    </row>
    <row r="495" spans="1:56" ht="12.75">
      <c r="A495" s="11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  <c r="AY495" s="12"/>
      <c r="AZ495" s="12"/>
      <c r="BA495" s="12"/>
      <c r="BB495" s="12"/>
      <c r="BC495" s="12"/>
      <c r="BD495" s="12"/>
    </row>
    <row r="496" spans="1:56" ht="12.75">
      <c r="A496" s="11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  <c r="AY496" s="12"/>
      <c r="AZ496" s="12"/>
      <c r="BA496" s="12"/>
      <c r="BB496" s="12"/>
      <c r="BC496" s="12"/>
      <c r="BD496" s="12"/>
    </row>
    <row r="497" spans="1:56" ht="12.75">
      <c r="A497" s="11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  <c r="AZ497" s="12"/>
      <c r="BA497" s="12"/>
      <c r="BB497" s="12"/>
      <c r="BC497" s="12"/>
      <c r="BD497" s="12"/>
    </row>
    <row r="498" spans="1:56" ht="12.75">
      <c r="A498" s="11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  <c r="AY498" s="12"/>
      <c r="AZ498" s="12"/>
      <c r="BA498" s="12"/>
      <c r="BB498" s="12"/>
      <c r="BC498" s="12"/>
      <c r="BD498" s="12"/>
    </row>
    <row r="499" spans="1:56" ht="12.75">
      <c r="A499" s="11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  <c r="AY499" s="12"/>
      <c r="AZ499" s="12"/>
      <c r="BA499" s="12"/>
      <c r="BB499" s="12"/>
      <c r="BC499" s="12"/>
      <c r="BD499" s="12"/>
    </row>
    <row r="500" spans="1:56" ht="12.75">
      <c r="A500" s="11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  <c r="AY500" s="12"/>
      <c r="AZ500" s="12"/>
      <c r="BA500" s="12"/>
      <c r="BB500" s="12"/>
      <c r="BC500" s="12"/>
      <c r="BD500" s="12"/>
    </row>
    <row r="501" spans="1:56" ht="12.75">
      <c r="A501" s="11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  <c r="AY501" s="12"/>
      <c r="AZ501" s="12"/>
      <c r="BA501" s="12"/>
      <c r="BB501" s="12"/>
      <c r="BC501" s="12"/>
      <c r="BD501" s="12"/>
    </row>
    <row r="502" spans="1:56" ht="12.75">
      <c r="A502" s="11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12"/>
      <c r="AY502" s="12"/>
      <c r="AZ502" s="12"/>
      <c r="BA502" s="12"/>
      <c r="BB502" s="12"/>
      <c r="BC502" s="12"/>
      <c r="BD502" s="12"/>
    </row>
    <row r="503" spans="1:56" ht="12.75">
      <c r="A503" s="11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  <c r="AY503" s="12"/>
      <c r="AZ503" s="12"/>
      <c r="BA503" s="12"/>
      <c r="BB503" s="12"/>
      <c r="BC503" s="12"/>
      <c r="BD503" s="12"/>
    </row>
    <row r="504" spans="1:56" ht="12.75">
      <c r="A504" s="11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  <c r="AY504" s="12"/>
      <c r="AZ504" s="12"/>
      <c r="BA504" s="12"/>
      <c r="BB504" s="12"/>
      <c r="BC504" s="12"/>
      <c r="BD504" s="12"/>
    </row>
    <row r="505" spans="1:56" ht="12.75">
      <c r="A505" s="11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  <c r="AY505" s="12"/>
      <c r="AZ505" s="12"/>
      <c r="BA505" s="12"/>
      <c r="BB505" s="12"/>
      <c r="BC505" s="12"/>
      <c r="BD505" s="12"/>
    </row>
    <row r="506" spans="1:56" ht="12.75">
      <c r="A506" s="11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2"/>
      <c r="AY506" s="12"/>
      <c r="AZ506" s="12"/>
      <c r="BA506" s="12"/>
      <c r="BB506" s="12"/>
      <c r="BC506" s="12"/>
      <c r="BD506" s="12"/>
    </row>
    <row r="507" spans="1:56" ht="12.75">
      <c r="A507" s="11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2"/>
      <c r="AY507" s="12"/>
      <c r="AZ507" s="12"/>
      <c r="BA507" s="12"/>
      <c r="BB507" s="12"/>
      <c r="BC507" s="12"/>
      <c r="BD507" s="12"/>
    </row>
    <row r="508" spans="1:56" ht="12.75">
      <c r="A508" s="11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2"/>
      <c r="AY508" s="12"/>
      <c r="AZ508" s="12"/>
      <c r="BA508" s="12"/>
      <c r="BB508" s="12"/>
      <c r="BC508" s="12"/>
      <c r="BD508" s="12"/>
    </row>
    <row r="509" spans="1:56" ht="12.75">
      <c r="A509" s="11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  <c r="AY509" s="12"/>
      <c r="AZ509" s="12"/>
      <c r="BA509" s="12"/>
      <c r="BB509" s="12"/>
      <c r="BC509" s="12"/>
      <c r="BD509" s="12"/>
    </row>
    <row r="510" spans="1:56" ht="12.75">
      <c r="A510" s="11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  <c r="AY510" s="12"/>
      <c r="AZ510" s="12"/>
      <c r="BA510" s="12"/>
      <c r="BB510" s="12"/>
      <c r="BC510" s="12"/>
      <c r="BD510" s="12"/>
    </row>
    <row r="511" spans="1:56" ht="12.75">
      <c r="A511" s="11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  <c r="AY511" s="12"/>
      <c r="AZ511" s="12"/>
      <c r="BA511" s="12"/>
      <c r="BB511" s="12"/>
      <c r="BC511" s="12"/>
      <c r="BD511" s="12"/>
    </row>
    <row r="512" spans="1:56" ht="12.75">
      <c r="A512" s="11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2"/>
      <c r="AY512" s="12"/>
      <c r="AZ512" s="12"/>
      <c r="BA512" s="12"/>
      <c r="BB512" s="12"/>
      <c r="BC512" s="12"/>
      <c r="BD512" s="12"/>
    </row>
    <row r="513" spans="1:56" ht="12.75">
      <c r="A513" s="11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  <c r="AY513" s="12"/>
      <c r="AZ513" s="12"/>
      <c r="BA513" s="12"/>
      <c r="BB513" s="12"/>
      <c r="BC513" s="12"/>
      <c r="BD513" s="12"/>
    </row>
    <row r="514" spans="1:56" ht="12.75">
      <c r="A514" s="11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  <c r="AY514" s="12"/>
      <c r="AZ514" s="12"/>
      <c r="BA514" s="12"/>
      <c r="BB514" s="12"/>
      <c r="BC514" s="12"/>
      <c r="BD514" s="12"/>
    </row>
    <row r="515" spans="1:56" ht="12.75">
      <c r="A515" s="11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  <c r="AY515" s="12"/>
      <c r="AZ515" s="12"/>
      <c r="BA515" s="12"/>
      <c r="BB515" s="12"/>
      <c r="BC515" s="12"/>
      <c r="BD515" s="12"/>
    </row>
    <row r="516" spans="1:56" ht="12.75">
      <c r="A516" s="11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  <c r="AY516" s="12"/>
      <c r="AZ516" s="12"/>
      <c r="BA516" s="12"/>
      <c r="BB516" s="12"/>
      <c r="BC516" s="12"/>
      <c r="BD516" s="12"/>
    </row>
    <row r="517" spans="1:56" ht="12.75">
      <c r="A517" s="11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  <c r="AY517" s="12"/>
      <c r="AZ517" s="12"/>
      <c r="BA517" s="12"/>
      <c r="BB517" s="12"/>
      <c r="BC517" s="12"/>
      <c r="BD517" s="12"/>
    </row>
    <row r="518" spans="1:56" ht="12.75">
      <c r="A518" s="11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  <c r="AX518" s="12"/>
      <c r="AY518" s="12"/>
      <c r="AZ518" s="12"/>
      <c r="BA518" s="12"/>
      <c r="BB518" s="12"/>
      <c r="BC518" s="12"/>
      <c r="BD518" s="12"/>
    </row>
    <row r="519" spans="1:56" ht="12.75">
      <c r="A519" s="11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  <c r="AY519" s="12"/>
      <c r="AZ519" s="12"/>
      <c r="BA519" s="12"/>
      <c r="BB519" s="12"/>
      <c r="BC519" s="12"/>
      <c r="BD519" s="12"/>
    </row>
    <row r="520" spans="1:56" ht="12.75">
      <c r="A520" s="11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2"/>
      <c r="AY520" s="12"/>
      <c r="AZ520" s="12"/>
      <c r="BA520" s="12"/>
      <c r="BB520" s="12"/>
      <c r="BC520" s="12"/>
      <c r="BD520" s="12"/>
    </row>
    <row r="521" spans="1:56" ht="12.75">
      <c r="A521" s="11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  <c r="AY521" s="12"/>
      <c r="AZ521" s="12"/>
      <c r="BA521" s="12"/>
      <c r="BB521" s="12"/>
      <c r="BC521" s="12"/>
      <c r="BD521" s="12"/>
    </row>
    <row r="522" spans="1:56" ht="12.75">
      <c r="A522" s="11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12"/>
      <c r="AY522" s="12"/>
      <c r="AZ522" s="12"/>
      <c r="BA522" s="12"/>
      <c r="BB522" s="12"/>
      <c r="BC522" s="12"/>
      <c r="BD522" s="12"/>
    </row>
    <row r="523" spans="1:56" ht="12.75">
      <c r="A523" s="11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  <c r="AY523" s="12"/>
      <c r="AZ523" s="12"/>
      <c r="BA523" s="12"/>
      <c r="BB523" s="12"/>
      <c r="BC523" s="12"/>
      <c r="BD523" s="12"/>
    </row>
    <row r="524" spans="1:56" ht="12.75">
      <c r="A524" s="11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  <c r="AX524" s="12"/>
      <c r="AY524" s="12"/>
      <c r="AZ524" s="12"/>
      <c r="BA524" s="12"/>
      <c r="BB524" s="12"/>
      <c r="BC524" s="12"/>
      <c r="BD524" s="12"/>
    </row>
    <row r="525" spans="1:56" ht="12.75">
      <c r="A525" s="11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  <c r="AY525" s="12"/>
      <c r="AZ525" s="12"/>
      <c r="BA525" s="12"/>
      <c r="BB525" s="12"/>
      <c r="BC525" s="12"/>
      <c r="BD525" s="12"/>
    </row>
    <row r="526" spans="1:56" ht="12.75">
      <c r="A526" s="11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  <c r="AX526" s="12"/>
      <c r="AY526" s="12"/>
      <c r="AZ526" s="12"/>
      <c r="BA526" s="12"/>
      <c r="BB526" s="12"/>
      <c r="BC526" s="12"/>
      <c r="BD526" s="12"/>
    </row>
    <row r="527" spans="1:56" ht="12.75">
      <c r="A527" s="11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  <c r="AY527" s="12"/>
      <c r="AZ527" s="12"/>
      <c r="BA527" s="12"/>
      <c r="BB527" s="12"/>
      <c r="BC527" s="12"/>
      <c r="BD527" s="12"/>
    </row>
    <row r="528" spans="1:56" ht="12.75">
      <c r="A528" s="11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 s="12"/>
      <c r="AY528" s="12"/>
      <c r="AZ528" s="12"/>
      <c r="BA528" s="12"/>
      <c r="BB528" s="12"/>
      <c r="BC528" s="12"/>
      <c r="BD528" s="12"/>
    </row>
    <row r="529" spans="1:56" ht="12.75">
      <c r="A529" s="11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  <c r="AY529" s="12"/>
      <c r="AZ529" s="12"/>
      <c r="BA529" s="12"/>
      <c r="BB529" s="12"/>
      <c r="BC529" s="12"/>
      <c r="BD529" s="12"/>
    </row>
    <row r="530" spans="1:56" ht="12.75">
      <c r="A530" s="11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  <c r="AX530" s="12"/>
      <c r="AY530" s="12"/>
      <c r="AZ530" s="12"/>
      <c r="BA530" s="12"/>
      <c r="BB530" s="12"/>
      <c r="BC530" s="12"/>
      <c r="BD530" s="12"/>
    </row>
    <row r="531" spans="1:56" ht="12.75">
      <c r="A531" s="11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2"/>
      <c r="AY531" s="12"/>
      <c r="AZ531" s="12"/>
      <c r="BA531" s="12"/>
      <c r="BB531" s="12"/>
      <c r="BC531" s="12"/>
      <c r="BD531" s="12"/>
    </row>
    <row r="532" spans="1:56" ht="12.75">
      <c r="A532" s="11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2"/>
      <c r="AY532" s="12"/>
      <c r="AZ532" s="12"/>
      <c r="BA532" s="12"/>
      <c r="BB532" s="12"/>
      <c r="BC532" s="12"/>
      <c r="BD532" s="12"/>
    </row>
    <row r="533" spans="1:56" ht="12.75">
      <c r="A533" s="11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2"/>
      <c r="AY533" s="12"/>
      <c r="AZ533" s="12"/>
      <c r="BA533" s="12"/>
      <c r="BB533" s="12"/>
      <c r="BC533" s="12"/>
      <c r="BD533" s="12"/>
    </row>
    <row r="534" spans="1:56" ht="12.75">
      <c r="A534" s="11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  <c r="AX534" s="12"/>
      <c r="AY534" s="12"/>
      <c r="AZ534" s="12"/>
      <c r="BA534" s="12"/>
      <c r="BB534" s="12"/>
      <c r="BC534" s="12"/>
      <c r="BD534" s="12"/>
    </row>
    <row r="535" spans="1:56" ht="12.75">
      <c r="A535" s="11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12"/>
      <c r="AY535" s="12"/>
      <c r="AZ535" s="12"/>
      <c r="BA535" s="12"/>
      <c r="BB535" s="12"/>
      <c r="BC535" s="12"/>
      <c r="BD535" s="12"/>
    </row>
    <row r="536" spans="1:56" ht="12.75">
      <c r="A536" s="11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12"/>
      <c r="AY536" s="12"/>
      <c r="AZ536" s="12"/>
      <c r="BA536" s="12"/>
      <c r="BB536" s="12"/>
      <c r="BC536" s="12"/>
      <c r="BD536" s="12"/>
    </row>
    <row r="537" spans="1:56" ht="12.75">
      <c r="A537" s="11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2"/>
      <c r="AY537" s="12"/>
      <c r="AZ537" s="12"/>
      <c r="BA537" s="12"/>
      <c r="BB537" s="12"/>
      <c r="BC537" s="12"/>
      <c r="BD537" s="12"/>
    </row>
    <row r="538" spans="1:56" ht="12.75">
      <c r="A538" s="11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12"/>
      <c r="AY538" s="12"/>
      <c r="AZ538" s="12"/>
      <c r="BA538" s="12"/>
      <c r="BB538" s="12"/>
      <c r="BC538" s="12"/>
      <c r="BD538" s="12"/>
    </row>
    <row r="539" spans="1:56" ht="12.75">
      <c r="A539" s="11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2"/>
      <c r="AY539" s="12"/>
      <c r="AZ539" s="12"/>
      <c r="BA539" s="12"/>
      <c r="BB539" s="12"/>
      <c r="BC539" s="12"/>
      <c r="BD539" s="12"/>
    </row>
    <row r="540" spans="1:56" ht="12.75">
      <c r="A540" s="11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  <c r="AX540" s="12"/>
      <c r="AY540" s="12"/>
      <c r="AZ540" s="12"/>
      <c r="BA540" s="12"/>
      <c r="BB540" s="12"/>
      <c r="BC540" s="12"/>
      <c r="BD540" s="12"/>
    </row>
    <row r="541" spans="1:56" ht="12.75">
      <c r="A541" s="11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12"/>
      <c r="AY541" s="12"/>
      <c r="AZ541" s="12"/>
      <c r="BA541" s="12"/>
      <c r="BB541" s="12"/>
      <c r="BC541" s="12"/>
      <c r="BD541" s="12"/>
    </row>
    <row r="542" spans="1:56" ht="12.75">
      <c r="A542" s="11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12"/>
      <c r="AY542" s="12"/>
      <c r="AZ542" s="12"/>
      <c r="BA542" s="12"/>
      <c r="BB542" s="12"/>
      <c r="BC542" s="12"/>
      <c r="BD542" s="12"/>
    </row>
    <row r="543" spans="1:56" ht="12.75">
      <c r="A543" s="11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12"/>
      <c r="AY543" s="12"/>
      <c r="AZ543" s="12"/>
      <c r="BA543" s="12"/>
      <c r="BB543" s="12"/>
      <c r="BC543" s="12"/>
      <c r="BD543" s="12"/>
    </row>
    <row r="544" spans="1:56" ht="12.75">
      <c r="A544" s="11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  <c r="AX544" s="12"/>
      <c r="AY544" s="12"/>
      <c r="AZ544" s="12"/>
      <c r="BA544" s="12"/>
      <c r="BB544" s="12"/>
      <c r="BC544" s="12"/>
      <c r="BD544" s="12"/>
    </row>
    <row r="545" spans="1:56" ht="12.75">
      <c r="A545" s="11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  <c r="AX545" s="12"/>
      <c r="AY545" s="12"/>
      <c r="AZ545" s="12"/>
      <c r="BA545" s="12"/>
      <c r="BB545" s="12"/>
      <c r="BC545" s="12"/>
      <c r="BD545" s="12"/>
    </row>
    <row r="546" spans="1:56" ht="12.75">
      <c r="A546" s="11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  <c r="AX546" s="12"/>
      <c r="AY546" s="12"/>
      <c r="AZ546" s="12"/>
      <c r="BA546" s="12"/>
      <c r="BB546" s="12"/>
      <c r="BC546" s="12"/>
      <c r="BD546" s="12"/>
    </row>
    <row r="547" spans="1:56" ht="12.75">
      <c r="A547" s="11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  <c r="AX547" s="12"/>
      <c r="AY547" s="12"/>
      <c r="AZ547" s="12"/>
      <c r="BA547" s="12"/>
      <c r="BB547" s="12"/>
      <c r="BC547" s="12"/>
      <c r="BD547" s="12"/>
    </row>
    <row r="548" spans="1:56" ht="12.75">
      <c r="A548" s="11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  <c r="AX548" s="12"/>
      <c r="AY548" s="12"/>
      <c r="AZ548" s="12"/>
      <c r="BA548" s="12"/>
      <c r="BB548" s="12"/>
      <c r="BC548" s="12"/>
      <c r="BD548" s="12"/>
    </row>
    <row r="549" spans="1:56" ht="12.75">
      <c r="A549" s="11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2"/>
      <c r="AY549" s="12"/>
      <c r="AZ549" s="12"/>
      <c r="BA549" s="12"/>
      <c r="BB549" s="12"/>
      <c r="BC549" s="12"/>
      <c r="BD549" s="12"/>
    </row>
    <row r="550" spans="1:56" ht="12.75">
      <c r="A550" s="11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  <c r="AX550" s="12"/>
      <c r="AY550" s="12"/>
      <c r="AZ550" s="12"/>
      <c r="BA550" s="12"/>
      <c r="BB550" s="12"/>
      <c r="BC550" s="12"/>
      <c r="BD550" s="12"/>
    </row>
    <row r="551" spans="1:56" ht="12.75">
      <c r="A551" s="11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2"/>
      <c r="AY551" s="12"/>
      <c r="AZ551" s="12"/>
      <c r="BA551" s="12"/>
      <c r="BB551" s="12"/>
      <c r="BC551" s="12"/>
      <c r="BD551" s="12"/>
    </row>
    <row r="552" spans="1:56" ht="12.75">
      <c r="A552" s="11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  <c r="AX552" s="12"/>
      <c r="AY552" s="12"/>
      <c r="AZ552" s="12"/>
      <c r="BA552" s="12"/>
      <c r="BB552" s="12"/>
      <c r="BC552" s="12"/>
      <c r="BD552" s="12"/>
    </row>
    <row r="553" spans="1:56" ht="12.75">
      <c r="A553" s="11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  <c r="AX553" s="12"/>
      <c r="AY553" s="12"/>
      <c r="AZ553" s="12"/>
      <c r="BA553" s="12"/>
      <c r="BB553" s="12"/>
      <c r="BC553" s="12"/>
      <c r="BD553" s="12"/>
    </row>
    <row r="554" spans="1:56" ht="12.75">
      <c r="A554" s="11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  <c r="AX554" s="12"/>
      <c r="AY554" s="12"/>
      <c r="AZ554" s="12"/>
      <c r="BA554" s="12"/>
      <c r="BB554" s="12"/>
      <c r="BC554" s="12"/>
      <c r="BD554" s="12"/>
    </row>
    <row r="555" spans="1:56" ht="12.75">
      <c r="A555" s="11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  <c r="AX555" s="12"/>
      <c r="AY555" s="12"/>
      <c r="AZ555" s="12"/>
      <c r="BA555" s="12"/>
      <c r="BB555" s="12"/>
      <c r="BC555" s="12"/>
      <c r="BD555" s="12"/>
    </row>
    <row r="556" spans="1:56" ht="12.75">
      <c r="A556" s="11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  <c r="AX556" s="12"/>
      <c r="AY556" s="12"/>
      <c r="AZ556" s="12"/>
      <c r="BA556" s="12"/>
      <c r="BB556" s="12"/>
      <c r="BC556" s="12"/>
      <c r="BD556" s="12"/>
    </row>
    <row r="557" spans="1:56" ht="12.75">
      <c r="A557" s="11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  <c r="AX557" s="12"/>
      <c r="AY557" s="12"/>
      <c r="AZ557" s="12"/>
      <c r="BA557" s="12"/>
      <c r="BB557" s="12"/>
      <c r="BC557" s="12"/>
      <c r="BD557" s="12"/>
    </row>
    <row r="558" spans="1:56" ht="12.75">
      <c r="A558" s="11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  <c r="AX558" s="12"/>
      <c r="AY558" s="12"/>
      <c r="AZ558" s="12"/>
      <c r="BA558" s="12"/>
      <c r="BB558" s="12"/>
      <c r="BC558" s="12"/>
      <c r="BD558" s="12"/>
    </row>
    <row r="559" spans="1:56" ht="12.75">
      <c r="A559" s="11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  <c r="AX559" s="12"/>
      <c r="AY559" s="12"/>
      <c r="AZ559" s="12"/>
      <c r="BA559" s="12"/>
      <c r="BB559" s="12"/>
      <c r="BC559" s="12"/>
      <c r="BD559" s="12"/>
    </row>
    <row r="560" spans="1:56" ht="12.75">
      <c r="A560" s="11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  <c r="AX560" s="12"/>
      <c r="AY560" s="12"/>
      <c r="AZ560" s="12"/>
      <c r="BA560" s="12"/>
      <c r="BB560" s="12"/>
      <c r="BC560" s="12"/>
      <c r="BD560" s="12"/>
    </row>
    <row r="561" spans="1:56" ht="12.75">
      <c r="A561" s="11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12"/>
      <c r="AY561" s="12"/>
      <c r="AZ561" s="12"/>
      <c r="BA561" s="12"/>
      <c r="BB561" s="12"/>
      <c r="BC561" s="12"/>
      <c r="BD561" s="12"/>
    </row>
    <row r="562" spans="1:56" ht="12.75">
      <c r="A562" s="11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  <c r="AX562" s="12"/>
      <c r="AY562" s="12"/>
      <c r="AZ562" s="12"/>
      <c r="BA562" s="12"/>
      <c r="BB562" s="12"/>
      <c r="BC562" s="12"/>
      <c r="BD562" s="12"/>
    </row>
    <row r="563" spans="1:56" ht="12.75">
      <c r="A563" s="11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12"/>
      <c r="AY563" s="12"/>
      <c r="AZ563" s="12"/>
      <c r="BA563" s="12"/>
      <c r="BB563" s="12"/>
      <c r="BC563" s="12"/>
      <c r="BD563" s="12"/>
    </row>
    <row r="564" spans="1:56" ht="12.75">
      <c r="A564" s="11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  <c r="AX564" s="12"/>
      <c r="AY564" s="12"/>
      <c r="AZ564" s="12"/>
      <c r="BA564" s="12"/>
      <c r="BB564" s="12"/>
      <c r="BC564" s="12"/>
      <c r="BD564" s="12"/>
    </row>
    <row r="565" spans="1:56" ht="12.75">
      <c r="A565" s="11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  <c r="AX565" s="12"/>
      <c r="AY565" s="12"/>
      <c r="AZ565" s="12"/>
      <c r="BA565" s="12"/>
      <c r="BB565" s="12"/>
      <c r="BC565" s="12"/>
      <c r="BD565" s="12"/>
    </row>
    <row r="566" spans="1:56" ht="12.75">
      <c r="A566" s="11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12"/>
      <c r="AY566" s="12"/>
      <c r="AZ566" s="12"/>
      <c r="BA566" s="12"/>
      <c r="BB566" s="12"/>
      <c r="BC566" s="12"/>
      <c r="BD566" s="12"/>
    </row>
    <row r="567" spans="1:56" ht="12.75">
      <c r="A567" s="11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12"/>
      <c r="AY567" s="12"/>
      <c r="AZ567" s="12"/>
      <c r="BA567" s="12"/>
      <c r="BB567" s="12"/>
      <c r="BC567" s="12"/>
      <c r="BD567" s="12"/>
    </row>
    <row r="568" spans="1:56" ht="12.75">
      <c r="A568" s="11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12"/>
      <c r="AY568" s="12"/>
      <c r="AZ568" s="12"/>
      <c r="BA568" s="12"/>
      <c r="BB568" s="12"/>
      <c r="BC568" s="12"/>
      <c r="BD568" s="12"/>
    </row>
    <row r="569" spans="1:56" ht="12.75">
      <c r="A569" s="11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2"/>
      <c r="AY569" s="12"/>
      <c r="AZ569" s="12"/>
      <c r="BA569" s="12"/>
      <c r="BB569" s="12"/>
      <c r="BC569" s="12"/>
      <c r="BD569" s="12"/>
    </row>
    <row r="570" spans="1:56" ht="12.75">
      <c r="A570" s="11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2"/>
      <c r="AY570" s="12"/>
      <c r="AZ570" s="12"/>
      <c r="BA570" s="12"/>
      <c r="BB570" s="12"/>
      <c r="BC570" s="12"/>
      <c r="BD570" s="12"/>
    </row>
    <row r="571" spans="1:56" ht="12.75">
      <c r="A571" s="11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  <c r="AX571" s="12"/>
      <c r="AY571" s="12"/>
      <c r="AZ571" s="12"/>
      <c r="BA571" s="12"/>
      <c r="BB571" s="12"/>
      <c r="BC571" s="12"/>
      <c r="BD571" s="12"/>
    </row>
    <row r="572" spans="1:56" ht="12.75">
      <c r="A572" s="11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  <c r="AX572" s="12"/>
      <c r="AY572" s="12"/>
      <c r="AZ572" s="12"/>
      <c r="BA572" s="12"/>
      <c r="BB572" s="12"/>
      <c r="BC572" s="12"/>
      <c r="BD572" s="12"/>
    </row>
    <row r="573" spans="1:56" ht="12.75">
      <c r="A573" s="11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  <c r="AX573" s="12"/>
      <c r="AY573" s="12"/>
      <c r="AZ573" s="12"/>
      <c r="BA573" s="12"/>
      <c r="BB573" s="12"/>
      <c r="BC573" s="12"/>
      <c r="BD573" s="12"/>
    </row>
    <row r="574" spans="1:56" ht="12.75">
      <c r="A574" s="11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  <c r="AX574" s="12"/>
      <c r="AY574" s="12"/>
      <c r="AZ574" s="12"/>
      <c r="BA574" s="12"/>
      <c r="BB574" s="12"/>
      <c r="BC574" s="12"/>
      <c r="BD574" s="12"/>
    </row>
    <row r="575" spans="1:56" ht="12.75">
      <c r="A575" s="11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  <c r="AX575" s="12"/>
      <c r="AY575" s="12"/>
      <c r="AZ575" s="12"/>
      <c r="BA575" s="12"/>
      <c r="BB575" s="12"/>
      <c r="BC575" s="12"/>
      <c r="BD575" s="12"/>
    </row>
    <row r="576" spans="1:56" ht="12.75">
      <c r="A576" s="11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  <c r="AX576" s="12"/>
      <c r="AY576" s="12"/>
      <c r="AZ576" s="12"/>
      <c r="BA576" s="12"/>
      <c r="BB576" s="12"/>
      <c r="BC576" s="12"/>
      <c r="BD576" s="12"/>
    </row>
    <row r="577" spans="1:56" ht="12.75">
      <c r="A577" s="11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  <c r="AW577" s="12"/>
      <c r="AX577" s="12"/>
      <c r="AY577" s="12"/>
      <c r="AZ577" s="12"/>
      <c r="BA577" s="12"/>
      <c r="BB577" s="12"/>
      <c r="BC577" s="12"/>
      <c r="BD577" s="12"/>
    </row>
    <row r="578" spans="1:56" ht="12.75">
      <c r="A578" s="11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  <c r="AX578" s="12"/>
      <c r="AY578" s="12"/>
      <c r="AZ578" s="12"/>
      <c r="BA578" s="12"/>
      <c r="BB578" s="12"/>
      <c r="BC578" s="12"/>
      <c r="BD578" s="12"/>
    </row>
    <row r="579" spans="1:56" ht="12.75">
      <c r="A579" s="11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  <c r="AX579" s="12"/>
      <c r="AY579" s="12"/>
      <c r="AZ579" s="12"/>
      <c r="BA579" s="12"/>
      <c r="BB579" s="12"/>
      <c r="BC579" s="12"/>
      <c r="BD579" s="12"/>
    </row>
    <row r="580" spans="1:56" ht="12.75">
      <c r="A580" s="11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  <c r="AX580" s="12"/>
      <c r="AY580" s="12"/>
      <c r="AZ580" s="12"/>
      <c r="BA580" s="12"/>
      <c r="BB580" s="12"/>
      <c r="BC580" s="12"/>
      <c r="BD580" s="12"/>
    </row>
    <row r="581" spans="1:56" ht="12.75">
      <c r="A581" s="11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  <c r="AX581" s="12"/>
      <c r="AY581" s="12"/>
      <c r="AZ581" s="12"/>
      <c r="BA581" s="12"/>
      <c r="BB581" s="12"/>
      <c r="BC581" s="12"/>
      <c r="BD581" s="12"/>
    </row>
    <row r="582" spans="1:56" ht="12.75">
      <c r="A582" s="11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  <c r="AX582" s="12"/>
      <c r="AY582" s="12"/>
      <c r="AZ582" s="12"/>
      <c r="BA582" s="12"/>
      <c r="BB582" s="12"/>
      <c r="BC582" s="12"/>
      <c r="BD582" s="12"/>
    </row>
    <row r="583" spans="1:56" ht="12.75">
      <c r="A583" s="11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  <c r="AX583" s="12"/>
      <c r="AY583" s="12"/>
      <c r="AZ583" s="12"/>
      <c r="BA583" s="12"/>
      <c r="BB583" s="12"/>
      <c r="BC583" s="12"/>
      <c r="BD583" s="12"/>
    </row>
    <row r="584" spans="1:56" ht="12.75">
      <c r="A584" s="11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  <c r="AX584" s="12"/>
      <c r="AY584" s="12"/>
      <c r="AZ584" s="12"/>
      <c r="BA584" s="12"/>
      <c r="BB584" s="12"/>
      <c r="BC584" s="12"/>
      <c r="BD584" s="12"/>
    </row>
    <row r="585" spans="1:56" ht="12.75">
      <c r="A585" s="11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  <c r="AX585" s="12"/>
      <c r="AY585" s="12"/>
      <c r="AZ585" s="12"/>
      <c r="BA585" s="12"/>
      <c r="BB585" s="12"/>
      <c r="BC585" s="12"/>
      <c r="BD585" s="12"/>
    </row>
    <row r="586" spans="1:56" ht="12.75">
      <c r="A586" s="11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  <c r="AX586" s="12"/>
      <c r="AY586" s="12"/>
      <c r="AZ586" s="12"/>
      <c r="BA586" s="12"/>
      <c r="BB586" s="12"/>
      <c r="BC586" s="12"/>
      <c r="BD586" s="12"/>
    </row>
    <row r="587" spans="1:56" ht="12.75">
      <c r="A587" s="11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  <c r="AX587" s="12"/>
      <c r="AY587" s="12"/>
      <c r="AZ587" s="12"/>
      <c r="BA587" s="12"/>
      <c r="BB587" s="12"/>
      <c r="BC587" s="12"/>
      <c r="BD587" s="12"/>
    </row>
    <row r="588" spans="1:56" ht="12.75">
      <c r="A588" s="11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  <c r="AX588" s="12"/>
      <c r="AY588" s="12"/>
      <c r="AZ588" s="12"/>
      <c r="BA588" s="12"/>
      <c r="BB588" s="12"/>
      <c r="BC588" s="12"/>
      <c r="BD588" s="12"/>
    </row>
    <row r="589" spans="1:56" ht="12.75">
      <c r="A589" s="11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  <c r="AX589" s="12"/>
      <c r="AY589" s="12"/>
      <c r="AZ589" s="12"/>
      <c r="BA589" s="12"/>
      <c r="BB589" s="12"/>
      <c r="BC589" s="12"/>
      <c r="BD589" s="12"/>
    </row>
    <row r="590" spans="1:56" ht="12.75">
      <c r="A590" s="11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  <c r="AX590" s="12"/>
      <c r="AY590" s="12"/>
      <c r="AZ590" s="12"/>
      <c r="BA590" s="12"/>
      <c r="BB590" s="12"/>
      <c r="BC590" s="12"/>
      <c r="BD590" s="12"/>
    </row>
    <row r="591" spans="1:56" ht="12.75">
      <c r="A591" s="11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  <c r="AX591" s="12"/>
      <c r="AY591" s="12"/>
      <c r="AZ591" s="12"/>
      <c r="BA591" s="12"/>
      <c r="BB591" s="12"/>
      <c r="BC591" s="12"/>
      <c r="BD591" s="12"/>
    </row>
    <row r="592" spans="1:56" ht="12.75">
      <c r="A592" s="11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  <c r="AX592" s="12"/>
      <c r="AY592" s="12"/>
      <c r="AZ592" s="12"/>
      <c r="BA592" s="12"/>
      <c r="BB592" s="12"/>
      <c r="BC592" s="12"/>
      <c r="BD592" s="12"/>
    </row>
    <row r="593" spans="1:56" ht="12.75">
      <c r="A593" s="11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  <c r="AW593" s="12"/>
      <c r="AX593" s="12"/>
      <c r="AY593" s="12"/>
      <c r="AZ593" s="12"/>
      <c r="BA593" s="12"/>
      <c r="BB593" s="12"/>
      <c r="BC593" s="12"/>
      <c r="BD593" s="12"/>
    </row>
    <row r="594" spans="1:56" ht="12.75">
      <c r="A594" s="11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  <c r="AX594" s="12"/>
      <c r="AY594" s="12"/>
      <c r="AZ594" s="12"/>
      <c r="BA594" s="12"/>
      <c r="BB594" s="12"/>
      <c r="BC594" s="12"/>
      <c r="BD594" s="12"/>
    </row>
    <row r="595" spans="1:56" ht="12.75">
      <c r="A595" s="11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  <c r="AW595" s="12"/>
      <c r="AX595" s="12"/>
      <c r="AY595" s="12"/>
      <c r="AZ595" s="12"/>
      <c r="BA595" s="12"/>
      <c r="BB595" s="12"/>
      <c r="BC595" s="12"/>
      <c r="BD595" s="12"/>
    </row>
    <row r="596" spans="1:56" ht="12.75">
      <c r="A596" s="11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  <c r="AX596" s="12"/>
      <c r="AY596" s="12"/>
      <c r="AZ596" s="12"/>
      <c r="BA596" s="12"/>
      <c r="BB596" s="12"/>
      <c r="BC596" s="12"/>
      <c r="BD596" s="12"/>
    </row>
    <row r="597" spans="1:56" ht="12.75">
      <c r="A597" s="11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  <c r="AW597" s="12"/>
      <c r="AX597" s="12"/>
      <c r="AY597" s="12"/>
      <c r="AZ597" s="12"/>
      <c r="BA597" s="12"/>
      <c r="BB597" s="12"/>
      <c r="BC597" s="12"/>
      <c r="BD597" s="12"/>
    </row>
    <row r="598" spans="1:56" ht="12.75">
      <c r="A598" s="11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  <c r="AX598" s="12"/>
      <c r="AY598" s="12"/>
      <c r="AZ598" s="12"/>
      <c r="BA598" s="12"/>
      <c r="BB598" s="12"/>
      <c r="BC598" s="12"/>
      <c r="BD598" s="12"/>
    </row>
    <row r="599" spans="1:56" ht="12.75">
      <c r="A599" s="11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  <c r="AX599" s="12"/>
      <c r="AY599" s="12"/>
      <c r="AZ599" s="12"/>
      <c r="BA599" s="12"/>
      <c r="BB599" s="12"/>
      <c r="BC599" s="12"/>
      <c r="BD599" s="12"/>
    </row>
    <row r="600" spans="1:56" ht="12.75">
      <c r="A600" s="11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  <c r="AX600" s="12"/>
      <c r="AY600" s="12"/>
      <c r="AZ600" s="12"/>
      <c r="BA600" s="12"/>
      <c r="BB600" s="12"/>
      <c r="BC600" s="12"/>
      <c r="BD600" s="12"/>
    </row>
    <row r="601" spans="1:56" ht="12.75">
      <c r="A601" s="11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12"/>
      <c r="AY601" s="12"/>
      <c r="AZ601" s="12"/>
      <c r="BA601" s="12"/>
      <c r="BB601" s="12"/>
      <c r="BC601" s="12"/>
      <c r="BD601" s="12"/>
    </row>
    <row r="602" spans="1:56" ht="12.75">
      <c r="A602" s="11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  <c r="AX602" s="12"/>
      <c r="AY602" s="12"/>
      <c r="AZ602" s="12"/>
      <c r="BA602" s="12"/>
      <c r="BB602" s="12"/>
      <c r="BC602" s="12"/>
      <c r="BD602" s="12"/>
    </row>
    <row r="603" spans="1:56" ht="12.75">
      <c r="A603" s="11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  <c r="AW603" s="12"/>
      <c r="AX603" s="12"/>
      <c r="AY603" s="12"/>
      <c r="AZ603" s="12"/>
      <c r="BA603" s="12"/>
      <c r="BB603" s="12"/>
      <c r="BC603" s="12"/>
      <c r="BD603" s="12"/>
    </row>
    <row r="604" spans="1:56" ht="12.75">
      <c r="A604" s="11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  <c r="AX604" s="12"/>
      <c r="AY604" s="12"/>
      <c r="AZ604" s="12"/>
      <c r="BA604" s="12"/>
      <c r="BB604" s="12"/>
      <c r="BC604" s="12"/>
      <c r="BD604" s="12"/>
    </row>
    <row r="605" spans="1:56" ht="12.75">
      <c r="A605" s="11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  <c r="AX605" s="12"/>
      <c r="AY605" s="12"/>
      <c r="AZ605" s="12"/>
      <c r="BA605" s="12"/>
      <c r="BB605" s="12"/>
      <c r="BC605" s="12"/>
      <c r="BD605" s="12"/>
    </row>
    <row r="606" spans="1:56" ht="12.75">
      <c r="A606" s="11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  <c r="AX606" s="12"/>
      <c r="AY606" s="12"/>
      <c r="AZ606" s="12"/>
      <c r="BA606" s="12"/>
      <c r="BB606" s="12"/>
      <c r="BC606" s="12"/>
      <c r="BD606" s="12"/>
    </row>
    <row r="607" spans="1:56" ht="12.75">
      <c r="A607" s="11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  <c r="AW607" s="12"/>
      <c r="AX607" s="12"/>
      <c r="AY607" s="12"/>
      <c r="AZ607" s="12"/>
      <c r="BA607" s="12"/>
      <c r="BB607" s="12"/>
      <c r="BC607" s="12"/>
      <c r="BD607" s="12"/>
    </row>
    <row r="608" spans="1:56" ht="12.75">
      <c r="A608" s="11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12"/>
      <c r="AY608" s="12"/>
      <c r="AZ608" s="12"/>
      <c r="BA608" s="12"/>
      <c r="BB608" s="12"/>
      <c r="BC608" s="12"/>
      <c r="BD608" s="12"/>
    </row>
    <row r="609" spans="1:56" ht="12.75">
      <c r="A609" s="11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  <c r="AW609" s="12"/>
      <c r="AX609" s="12"/>
      <c r="AY609" s="12"/>
      <c r="AZ609" s="12"/>
      <c r="BA609" s="12"/>
      <c r="BB609" s="12"/>
      <c r="BC609" s="12"/>
      <c r="BD609" s="12"/>
    </row>
    <row r="610" spans="1:56" ht="12.75">
      <c r="A610" s="11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  <c r="AW610" s="12"/>
      <c r="AX610" s="12"/>
      <c r="AY610" s="12"/>
      <c r="AZ610" s="12"/>
      <c r="BA610" s="12"/>
      <c r="BB610" s="12"/>
      <c r="BC610" s="12"/>
      <c r="BD610" s="12"/>
    </row>
    <row r="611" spans="1:56" ht="12.75">
      <c r="A611" s="11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"/>
      <c r="AX611" s="12"/>
      <c r="AY611" s="12"/>
      <c r="AZ611" s="12"/>
      <c r="BA611" s="12"/>
      <c r="BB611" s="12"/>
      <c r="BC611" s="12"/>
      <c r="BD611" s="12"/>
    </row>
    <row r="612" spans="1:56" ht="12.75">
      <c r="A612" s="11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  <c r="AW612" s="12"/>
      <c r="AX612" s="12"/>
      <c r="AY612" s="12"/>
      <c r="AZ612" s="12"/>
      <c r="BA612" s="12"/>
      <c r="BB612" s="12"/>
      <c r="BC612" s="12"/>
      <c r="BD612" s="12"/>
    </row>
    <row r="613" spans="1:56" ht="12.75">
      <c r="A613" s="11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  <c r="AW613" s="12"/>
      <c r="AX613" s="12"/>
      <c r="AY613" s="12"/>
      <c r="AZ613" s="12"/>
      <c r="BA613" s="12"/>
      <c r="BB613" s="12"/>
      <c r="BC613" s="12"/>
      <c r="BD613" s="12"/>
    </row>
    <row r="614" spans="1:56" ht="12.75">
      <c r="A614" s="11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  <c r="AX614" s="12"/>
      <c r="AY614" s="12"/>
      <c r="AZ614" s="12"/>
      <c r="BA614" s="12"/>
      <c r="BB614" s="12"/>
      <c r="BC614" s="12"/>
      <c r="BD614" s="12"/>
    </row>
    <row r="615" spans="1:56" ht="12.75">
      <c r="A615" s="11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  <c r="AW615" s="12"/>
      <c r="AX615" s="12"/>
      <c r="AY615" s="12"/>
      <c r="AZ615" s="12"/>
      <c r="BA615" s="12"/>
      <c r="BB615" s="12"/>
      <c r="BC615" s="12"/>
      <c r="BD615" s="12"/>
    </row>
    <row r="616" spans="1:56" ht="12.75">
      <c r="A616" s="11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  <c r="AX616" s="12"/>
      <c r="AY616" s="12"/>
      <c r="AZ616" s="12"/>
      <c r="BA616" s="12"/>
      <c r="BB616" s="12"/>
      <c r="BC616" s="12"/>
      <c r="BD616" s="12"/>
    </row>
    <row r="617" spans="1:56" ht="12.75">
      <c r="A617" s="11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  <c r="AX617" s="12"/>
      <c r="AY617" s="12"/>
      <c r="AZ617" s="12"/>
      <c r="BA617" s="12"/>
      <c r="BB617" s="12"/>
      <c r="BC617" s="12"/>
      <c r="BD617" s="12"/>
    </row>
    <row r="618" spans="1:56" ht="12.75">
      <c r="A618" s="11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  <c r="AX618" s="12"/>
      <c r="AY618" s="12"/>
      <c r="AZ618" s="12"/>
      <c r="BA618" s="12"/>
      <c r="BB618" s="12"/>
      <c r="BC618" s="12"/>
      <c r="BD618" s="12"/>
    </row>
    <row r="619" spans="1:56" ht="12.75">
      <c r="A619" s="11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  <c r="AW619" s="12"/>
      <c r="AX619" s="12"/>
      <c r="AY619" s="12"/>
      <c r="AZ619" s="12"/>
      <c r="BA619" s="12"/>
      <c r="BB619" s="12"/>
      <c r="BC619" s="12"/>
      <c r="BD619" s="12"/>
    </row>
    <row r="620" spans="1:56" ht="12.75">
      <c r="A620" s="11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  <c r="AX620" s="12"/>
      <c r="AY620" s="12"/>
      <c r="AZ620" s="12"/>
      <c r="BA620" s="12"/>
      <c r="BB620" s="12"/>
      <c r="BC620" s="12"/>
      <c r="BD620" s="12"/>
    </row>
    <row r="621" spans="1:56" ht="12.75">
      <c r="A621" s="11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  <c r="AX621" s="12"/>
      <c r="AY621" s="12"/>
      <c r="AZ621" s="12"/>
      <c r="BA621" s="12"/>
      <c r="BB621" s="12"/>
      <c r="BC621" s="12"/>
      <c r="BD621" s="12"/>
    </row>
    <row r="622" spans="1:56" ht="12.75">
      <c r="A622" s="11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  <c r="AX622" s="12"/>
      <c r="AY622" s="12"/>
      <c r="AZ622" s="12"/>
      <c r="BA622" s="12"/>
      <c r="BB622" s="12"/>
      <c r="BC622" s="12"/>
      <c r="BD622" s="12"/>
    </row>
    <row r="623" spans="1:56" ht="12.75">
      <c r="A623" s="11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  <c r="AW623" s="12"/>
      <c r="AX623" s="12"/>
      <c r="AY623" s="12"/>
      <c r="AZ623" s="12"/>
      <c r="BA623" s="12"/>
      <c r="BB623" s="12"/>
      <c r="BC623" s="12"/>
      <c r="BD623" s="12"/>
    </row>
    <row r="624" spans="1:56" ht="12.75">
      <c r="A624" s="11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  <c r="AX624" s="12"/>
      <c r="AY624" s="12"/>
      <c r="AZ624" s="12"/>
      <c r="BA624" s="12"/>
      <c r="BB624" s="12"/>
      <c r="BC624" s="12"/>
      <c r="BD624" s="12"/>
    </row>
    <row r="625" spans="1:56" ht="12.75">
      <c r="A625" s="11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  <c r="AW625" s="12"/>
      <c r="AX625" s="12"/>
      <c r="AY625" s="12"/>
      <c r="AZ625" s="12"/>
      <c r="BA625" s="12"/>
      <c r="BB625" s="12"/>
      <c r="BC625" s="12"/>
      <c r="BD625" s="12"/>
    </row>
    <row r="626" spans="1:56" ht="12.75">
      <c r="A626" s="11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  <c r="AX626" s="12"/>
      <c r="AY626" s="12"/>
      <c r="AZ626" s="12"/>
      <c r="BA626" s="12"/>
      <c r="BB626" s="12"/>
      <c r="BC626" s="12"/>
      <c r="BD626" s="12"/>
    </row>
    <row r="627" spans="1:56" ht="12.75">
      <c r="A627" s="11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  <c r="AX627" s="12"/>
      <c r="AY627" s="12"/>
      <c r="AZ627" s="12"/>
      <c r="BA627" s="12"/>
      <c r="BB627" s="12"/>
      <c r="BC627" s="12"/>
      <c r="BD627" s="12"/>
    </row>
    <row r="628" spans="1:56" ht="12.75">
      <c r="A628" s="11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  <c r="AX628" s="12"/>
      <c r="AY628" s="12"/>
      <c r="AZ628" s="12"/>
      <c r="BA628" s="12"/>
      <c r="BB628" s="12"/>
      <c r="BC628" s="12"/>
      <c r="BD628" s="12"/>
    </row>
    <row r="629" spans="1:56" ht="12.75">
      <c r="A629" s="11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  <c r="AX629" s="12"/>
      <c r="AY629" s="12"/>
      <c r="AZ629" s="12"/>
      <c r="BA629" s="12"/>
      <c r="BB629" s="12"/>
      <c r="BC629" s="12"/>
      <c r="BD629" s="12"/>
    </row>
    <row r="630" spans="1:56" ht="12.75">
      <c r="A630" s="11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  <c r="AX630" s="12"/>
      <c r="AY630" s="12"/>
      <c r="AZ630" s="12"/>
      <c r="BA630" s="12"/>
      <c r="BB630" s="12"/>
      <c r="BC630" s="12"/>
      <c r="BD630" s="12"/>
    </row>
    <row r="631" spans="1:56" ht="12.75">
      <c r="A631" s="11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  <c r="AW631" s="12"/>
      <c r="AX631" s="12"/>
      <c r="AY631" s="12"/>
      <c r="AZ631" s="12"/>
      <c r="BA631" s="12"/>
      <c r="BB631" s="12"/>
      <c r="BC631" s="12"/>
      <c r="BD631" s="12"/>
    </row>
    <row r="632" spans="1:56" ht="12.75">
      <c r="A632" s="11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  <c r="AX632" s="12"/>
      <c r="AY632" s="12"/>
      <c r="AZ632" s="12"/>
      <c r="BA632" s="12"/>
      <c r="BB632" s="12"/>
      <c r="BC632" s="12"/>
      <c r="BD632" s="12"/>
    </row>
    <row r="633" spans="1:56" ht="12.75">
      <c r="A633" s="11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  <c r="AW633" s="12"/>
      <c r="AX633" s="12"/>
      <c r="AY633" s="12"/>
      <c r="AZ633" s="12"/>
      <c r="BA633" s="12"/>
      <c r="BB633" s="12"/>
      <c r="BC633" s="12"/>
      <c r="BD633" s="12"/>
    </row>
    <row r="634" spans="1:56" ht="12.75">
      <c r="A634" s="11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  <c r="AX634" s="12"/>
      <c r="AY634" s="12"/>
      <c r="AZ634" s="12"/>
      <c r="BA634" s="12"/>
      <c r="BB634" s="12"/>
      <c r="BC634" s="12"/>
      <c r="BD634" s="12"/>
    </row>
    <row r="635" spans="1:56" ht="12.75">
      <c r="A635" s="11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  <c r="AW635" s="12"/>
      <c r="AX635" s="12"/>
      <c r="AY635" s="12"/>
      <c r="AZ635" s="12"/>
      <c r="BA635" s="12"/>
      <c r="BB635" s="12"/>
      <c r="BC635" s="12"/>
      <c r="BD635" s="12"/>
    </row>
    <row r="636" spans="1:56" ht="12.75">
      <c r="A636" s="11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12"/>
      <c r="AY636" s="12"/>
      <c r="AZ636" s="12"/>
      <c r="BA636" s="12"/>
      <c r="BB636" s="12"/>
      <c r="BC636" s="12"/>
      <c r="BD636" s="12"/>
    </row>
    <row r="637" spans="1:56" ht="12.75">
      <c r="A637" s="11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  <c r="AW637" s="12"/>
      <c r="AX637" s="12"/>
      <c r="AY637" s="12"/>
      <c r="AZ637" s="12"/>
      <c r="BA637" s="12"/>
      <c r="BB637" s="12"/>
      <c r="BC637" s="12"/>
      <c r="BD637" s="12"/>
    </row>
    <row r="638" spans="1:56" ht="12.75">
      <c r="A638" s="11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12"/>
      <c r="AY638" s="12"/>
      <c r="AZ638" s="12"/>
      <c r="BA638" s="12"/>
      <c r="BB638" s="12"/>
      <c r="BC638" s="12"/>
      <c r="BD638" s="12"/>
    </row>
    <row r="639" spans="1:56" ht="12.75">
      <c r="A639" s="11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  <c r="AX639" s="12"/>
      <c r="AY639" s="12"/>
      <c r="AZ639" s="12"/>
      <c r="BA639" s="12"/>
      <c r="BB639" s="12"/>
      <c r="BC639" s="12"/>
      <c r="BD639" s="12"/>
    </row>
    <row r="640" spans="1:56" ht="12.75">
      <c r="A640" s="11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  <c r="AX640" s="12"/>
      <c r="AY640" s="12"/>
      <c r="AZ640" s="12"/>
      <c r="BA640" s="12"/>
      <c r="BB640" s="12"/>
      <c r="BC640" s="12"/>
      <c r="BD640" s="12"/>
    </row>
    <row r="641" spans="1:56" ht="12.75">
      <c r="A641" s="11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  <c r="AX641" s="12"/>
      <c r="AY641" s="12"/>
      <c r="AZ641" s="12"/>
      <c r="BA641" s="12"/>
      <c r="BB641" s="12"/>
      <c r="BC641" s="12"/>
      <c r="BD641" s="12"/>
    </row>
    <row r="642" spans="1:56" ht="12.75">
      <c r="A642" s="11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  <c r="AX642" s="12"/>
      <c r="AY642" s="12"/>
      <c r="AZ642" s="12"/>
      <c r="BA642" s="12"/>
      <c r="BB642" s="12"/>
      <c r="BC642" s="12"/>
      <c r="BD642" s="12"/>
    </row>
    <row r="643" spans="1:56" ht="12.75">
      <c r="A643" s="11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  <c r="AW643" s="12"/>
      <c r="AX643" s="12"/>
      <c r="AY643" s="12"/>
      <c r="AZ643" s="12"/>
      <c r="BA643" s="12"/>
      <c r="BB643" s="12"/>
      <c r="BC643" s="12"/>
      <c r="BD643" s="12"/>
    </row>
    <row r="644" spans="1:56" ht="12.75">
      <c r="A644" s="11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  <c r="AX644" s="12"/>
      <c r="AY644" s="12"/>
      <c r="AZ644" s="12"/>
      <c r="BA644" s="12"/>
      <c r="BB644" s="12"/>
      <c r="BC644" s="12"/>
      <c r="BD644" s="12"/>
    </row>
    <row r="645" spans="1:56" ht="12.75">
      <c r="A645" s="11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  <c r="AW645" s="12"/>
      <c r="AX645" s="12"/>
      <c r="AY645" s="12"/>
      <c r="AZ645" s="12"/>
      <c r="BA645" s="12"/>
      <c r="BB645" s="12"/>
      <c r="BC645" s="12"/>
      <c r="BD645" s="12"/>
    </row>
    <row r="646" spans="1:56" ht="12.75">
      <c r="A646" s="11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2"/>
      <c r="AX646" s="12"/>
      <c r="AY646" s="12"/>
      <c r="AZ646" s="12"/>
      <c r="BA646" s="12"/>
      <c r="BB646" s="12"/>
      <c r="BC646" s="12"/>
      <c r="BD646" s="12"/>
    </row>
    <row r="647" spans="1:56" ht="12.75">
      <c r="A647" s="11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  <c r="AX647" s="12"/>
      <c r="AY647" s="12"/>
      <c r="AZ647" s="12"/>
      <c r="BA647" s="12"/>
      <c r="BB647" s="12"/>
      <c r="BC647" s="12"/>
      <c r="BD647" s="12"/>
    </row>
    <row r="648" spans="1:56" ht="12.75">
      <c r="A648" s="11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2"/>
      <c r="AX648" s="12"/>
      <c r="AY648" s="12"/>
      <c r="AZ648" s="12"/>
      <c r="BA648" s="12"/>
      <c r="BB648" s="12"/>
      <c r="BC648" s="12"/>
      <c r="BD648" s="12"/>
    </row>
    <row r="649" spans="1:56" ht="12.75">
      <c r="A649" s="11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  <c r="AW649" s="12"/>
      <c r="AX649" s="12"/>
      <c r="AY649" s="12"/>
      <c r="AZ649" s="12"/>
      <c r="BA649" s="12"/>
      <c r="BB649" s="12"/>
      <c r="BC649" s="12"/>
      <c r="BD649" s="12"/>
    </row>
    <row r="650" spans="1:56" ht="12.75">
      <c r="A650" s="11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  <c r="AX650" s="12"/>
      <c r="AY650" s="12"/>
      <c r="AZ650" s="12"/>
      <c r="BA650" s="12"/>
      <c r="BB650" s="12"/>
      <c r="BC650" s="12"/>
      <c r="BD650" s="12"/>
    </row>
    <row r="651" spans="1:56" ht="12.75">
      <c r="A651" s="11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  <c r="AW651" s="12"/>
      <c r="AX651" s="12"/>
      <c r="AY651" s="12"/>
      <c r="AZ651" s="12"/>
      <c r="BA651" s="12"/>
      <c r="BB651" s="12"/>
      <c r="BC651" s="12"/>
      <c r="BD651" s="12"/>
    </row>
    <row r="652" spans="1:56" ht="12.75">
      <c r="A652" s="11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  <c r="AW652" s="12"/>
      <c r="AX652" s="12"/>
      <c r="AY652" s="12"/>
      <c r="AZ652" s="12"/>
      <c r="BA652" s="12"/>
      <c r="BB652" s="12"/>
      <c r="BC652" s="12"/>
      <c r="BD652" s="12"/>
    </row>
    <row r="653" spans="1:56" ht="12.75">
      <c r="A653" s="11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  <c r="AW653" s="12"/>
      <c r="AX653" s="12"/>
      <c r="AY653" s="12"/>
      <c r="AZ653" s="12"/>
      <c r="BA653" s="12"/>
      <c r="BB653" s="12"/>
      <c r="BC653" s="12"/>
      <c r="BD653" s="12"/>
    </row>
    <row r="654" spans="1:56" ht="12.75">
      <c r="A654" s="11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2"/>
      <c r="AX654" s="12"/>
      <c r="AY654" s="12"/>
      <c r="AZ654" s="12"/>
      <c r="BA654" s="12"/>
      <c r="BB654" s="12"/>
      <c r="BC654" s="12"/>
      <c r="BD654" s="12"/>
    </row>
    <row r="655" spans="1:56" ht="12.75">
      <c r="A655" s="11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  <c r="AW655" s="12"/>
      <c r="AX655" s="12"/>
      <c r="AY655" s="12"/>
      <c r="AZ655" s="12"/>
      <c r="BA655" s="12"/>
      <c r="BB655" s="12"/>
      <c r="BC655" s="12"/>
      <c r="BD655" s="12"/>
    </row>
    <row r="656" spans="1:56" ht="12.75">
      <c r="A656" s="11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  <c r="AX656" s="12"/>
      <c r="AY656" s="12"/>
      <c r="AZ656" s="12"/>
      <c r="BA656" s="12"/>
      <c r="BB656" s="12"/>
      <c r="BC656" s="12"/>
      <c r="BD656" s="12"/>
    </row>
    <row r="657" spans="1:56" ht="12.75">
      <c r="A657" s="11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  <c r="AX657" s="12"/>
      <c r="AY657" s="12"/>
      <c r="AZ657" s="12"/>
      <c r="BA657" s="12"/>
      <c r="BB657" s="12"/>
      <c r="BC657" s="12"/>
      <c r="BD657" s="12"/>
    </row>
    <row r="658" spans="1:56" ht="12.75">
      <c r="A658" s="11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  <c r="AX658" s="12"/>
      <c r="AY658" s="12"/>
      <c r="AZ658" s="12"/>
      <c r="BA658" s="12"/>
      <c r="BB658" s="12"/>
      <c r="BC658" s="12"/>
      <c r="BD658" s="12"/>
    </row>
    <row r="659" spans="1:56" ht="12.75">
      <c r="A659" s="11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  <c r="AW659" s="12"/>
      <c r="AX659" s="12"/>
      <c r="AY659" s="12"/>
      <c r="AZ659" s="12"/>
      <c r="BA659" s="12"/>
      <c r="BB659" s="12"/>
      <c r="BC659" s="12"/>
      <c r="BD659" s="12"/>
    </row>
    <row r="660" spans="1:56" ht="12.75">
      <c r="A660" s="11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  <c r="AX660" s="12"/>
      <c r="AY660" s="12"/>
      <c r="AZ660" s="12"/>
      <c r="BA660" s="12"/>
      <c r="BB660" s="12"/>
      <c r="BC660" s="12"/>
      <c r="BD660" s="12"/>
    </row>
    <row r="661" spans="1:56" ht="12.75">
      <c r="A661" s="11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  <c r="AX661" s="12"/>
      <c r="AY661" s="12"/>
      <c r="AZ661" s="12"/>
      <c r="BA661" s="12"/>
      <c r="BB661" s="12"/>
      <c r="BC661" s="12"/>
      <c r="BD661" s="12"/>
    </row>
    <row r="662" spans="1:56" ht="12.75">
      <c r="A662" s="11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  <c r="AX662" s="12"/>
      <c r="AY662" s="12"/>
      <c r="AZ662" s="12"/>
      <c r="BA662" s="12"/>
      <c r="BB662" s="12"/>
      <c r="BC662" s="12"/>
      <c r="BD662" s="12"/>
    </row>
    <row r="663" spans="1:56" ht="12.75">
      <c r="A663" s="11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  <c r="AW663" s="12"/>
      <c r="AX663" s="12"/>
      <c r="AY663" s="12"/>
      <c r="AZ663" s="12"/>
      <c r="BA663" s="12"/>
      <c r="BB663" s="12"/>
      <c r="BC663" s="12"/>
      <c r="BD663" s="12"/>
    </row>
    <row r="664" spans="1:56" ht="12.75">
      <c r="A664" s="11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2"/>
      <c r="AX664" s="12"/>
      <c r="AY664" s="12"/>
      <c r="AZ664" s="12"/>
      <c r="BA664" s="12"/>
      <c r="BB664" s="12"/>
      <c r="BC664" s="12"/>
      <c r="BD664" s="12"/>
    </row>
    <row r="665" spans="1:56" ht="12.75">
      <c r="A665" s="11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  <c r="AW665" s="12"/>
      <c r="AX665" s="12"/>
      <c r="AY665" s="12"/>
      <c r="AZ665" s="12"/>
      <c r="BA665" s="12"/>
      <c r="BB665" s="12"/>
      <c r="BC665" s="12"/>
      <c r="BD665" s="12"/>
    </row>
    <row r="666" spans="1:56" ht="12.75">
      <c r="A666" s="11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  <c r="AX666" s="12"/>
      <c r="AY666" s="12"/>
      <c r="AZ666" s="12"/>
      <c r="BA666" s="12"/>
      <c r="BB666" s="12"/>
      <c r="BC666" s="12"/>
      <c r="BD666" s="12"/>
    </row>
    <row r="667" spans="1:56" ht="12.75">
      <c r="A667" s="11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  <c r="AW667" s="12"/>
      <c r="AX667" s="12"/>
      <c r="AY667" s="12"/>
      <c r="AZ667" s="12"/>
      <c r="BA667" s="12"/>
      <c r="BB667" s="12"/>
      <c r="BC667" s="12"/>
      <c r="BD667" s="12"/>
    </row>
    <row r="668" spans="1:56" ht="12.75">
      <c r="A668" s="11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  <c r="AX668" s="12"/>
      <c r="AY668" s="12"/>
      <c r="AZ668" s="12"/>
      <c r="BA668" s="12"/>
      <c r="BB668" s="12"/>
      <c r="BC668" s="12"/>
      <c r="BD668" s="12"/>
    </row>
    <row r="669" spans="1:56" ht="12.75">
      <c r="A669" s="11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  <c r="AW669" s="12"/>
      <c r="AX669" s="12"/>
      <c r="AY669" s="12"/>
      <c r="AZ669" s="12"/>
      <c r="BA669" s="12"/>
      <c r="BB669" s="12"/>
      <c r="BC669" s="12"/>
      <c r="BD669" s="12"/>
    </row>
    <row r="670" spans="1:56" ht="12.75">
      <c r="A670" s="11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2"/>
      <c r="AX670" s="12"/>
      <c r="AY670" s="12"/>
      <c r="AZ670" s="12"/>
      <c r="BA670" s="12"/>
      <c r="BB670" s="12"/>
      <c r="BC670" s="12"/>
      <c r="BD670" s="12"/>
    </row>
    <row r="671" spans="1:56" ht="12.75">
      <c r="A671" s="11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  <c r="AX671" s="12"/>
      <c r="AY671" s="12"/>
      <c r="AZ671" s="12"/>
      <c r="BA671" s="12"/>
      <c r="BB671" s="12"/>
      <c r="BC671" s="12"/>
      <c r="BD671" s="12"/>
    </row>
    <row r="672" spans="1:56" ht="12.75">
      <c r="A672" s="11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  <c r="AX672" s="12"/>
      <c r="AY672" s="12"/>
      <c r="AZ672" s="12"/>
      <c r="BA672" s="12"/>
      <c r="BB672" s="12"/>
      <c r="BC672" s="12"/>
      <c r="BD672" s="12"/>
    </row>
    <row r="673" spans="1:56" ht="12.75">
      <c r="A673" s="11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  <c r="AW673" s="12"/>
      <c r="AX673" s="12"/>
      <c r="AY673" s="12"/>
      <c r="AZ673" s="12"/>
      <c r="BA673" s="12"/>
      <c r="BB673" s="12"/>
      <c r="BC673" s="12"/>
      <c r="BD673" s="12"/>
    </row>
    <row r="674" spans="1:56" ht="12.75">
      <c r="A674" s="11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  <c r="AW674" s="12"/>
      <c r="AX674" s="12"/>
      <c r="AY674" s="12"/>
      <c r="AZ674" s="12"/>
      <c r="BA674" s="12"/>
      <c r="BB674" s="12"/>
      <c r="BC674" s="12"/>
      <c r="BD674" s="12"/>
    </row>
    <row r="675" spans="1:56" ht="12.75">
      <c r="A675" s="11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  <c r="AW675" s="12"/>
      <c r="AX675" s="12"/>
      <c r="AY675" s="12"/>
      <c r="AZ675" s="12"/>
      <c r="BA675" s="12"/>
      <c r="BB675" s="12"/>
      <c r="BC675" s="12"/>
      <c r="BD675" s="12"/>
    </row>
    <row r="676" spans="1:56" ht="12.75">
      <c r="A676" s="11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  <c r="AX676" s="12"/>
      <c r="AY676" s="12"/>
      <c r="AZ676" s="12"/>
      <c r="BA676" s="12"/>
      <c r="BB676" s="12"/>
      <c r="BC676" s="12"/>
      <c r="BD676" s="12"/>
    </row>
    <row r="677" spans="1:56" ht="12.75">
      <c r="A677" s="11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  <c r="AW677" s="12"/>
      <c r="AX677" s="12"/>
      <c r="AY677" s="12"/>
      <c r="AZ677" s="12"/>
      <c r="BA677" s="12"/>
      <c r="BB677" s="12"/>
      <c r="BC677" s="12"/>
      <c r="BD677" s="12"/>
    </row>
    <row r="678" spans="1:56" ht="12.75">
      <c r="A678" s="11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  <c r="AW678" s="12"/>
      <c r="AX678" s="12"/>
      <c r="AY678" s="12"/>
      <c r="AZ678" s="12"/>
      <c r="BA678" s="12"/>
      <c r="BB678" s="12"/>
      <c r="BC678" s="12"/>
      <c r="BD678" s="12"/>
    </row>
    <row r="679" spans="1:56" ht="12.75">
      <c r="A679" s="11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  <c r="AX679" s="12"/>
      <c r="AY679" s="12"/>
      <c r="AZ679" s="12"/>
      <c r="BA679" s="12"/>
      <c r="BB679" s="12"/>
      <c r="BC679" s="12"/>
      <c r="BD679" s="12"/>
    </row>
    <row r="680" spans="1:56" ht="12.75">
      <c r="A680" s="11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  <c r="AW680" s="12"/>
      <c r="AX680" s="12"/>
      <c r="AY680" s="12"/>
      <c r="AZ680" s="12"/>
      <c r="BA680" s="12"/>
      <c r="BB680" s="12"/>
      <c r="BC680" s="12"/>
      <c r="BD680" s="12"/>
    </row>
    <row r="681" spans="1:56" ht="12.75">
      <c r="A681" s="11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  <c r="AX681" s="12"/>
      <c r="AY681" s="12"/>
      <c r="AZ681" s="12"/>
      <c r="BA681" s="12"/>
      <c r="BB681" s="12"/>
      <c r="BC681" s="12"/>
      <c r="BD681" s="12"/>
    </row>
    <row r="682" spans="1:56" ht="12.75">
      <c r="A682" s="11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  <c r="AW682" s="12"/>
      <c r="AX682" s="12"/>
      <c r="AY682" s="12"/>
      <c r="AZ682" s="12"/>
      <c r="BA682" s="12"/>
      <c r="BB682" s="12"/>
      <c r="BC682" s="12"/>
      <c r="BD682" s="12"/>
    </row>
    <row r="683" spans="1:56" ht="12.75">
      <c r="A683" s="11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  <c r="AW683" s="12"/>
      <c r="AX683" s="12"/>
      <c r="AY683" s="12"/>
      <c r="AZ683" s="12"/>
      <c r="BA683" s="12"/>
      <c r="BB683" s="12"/>
      <c r="BC683" s="12"/>
      <c r="BD683" s="12"/>
    </row>
    <row r="684" spans="1:56" ht="12.75">
      <c r="A684" s="11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  <c r="AW684" s="12"/>
      <c r="AX684" s="12"/>
      <c r="AY684" s="12"/>
      <c r="AZ684" s="12"/>
      <c r="BA684" s="12"/>
      <c r="BB684" s="12"/>
      <c r="BC684" s="12"/>
      <c r="BD684" s="12"/>
    </row>
    <row r="685" spans="1:56" ht="12.75">
      <c r="A685" s="11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  <c r="AW685" s="12"/>
      <c r="AX685" s="12"/>
      <c r="AY685" s="12"/>
      <c r="AZ685" s="12"/>
      <c r="BA685" s="12"/>
      <c r="BB685" s="12"/>
      <c r="BC685" s="12"/>
      <c r="BD685" s="12"/>
    </row>
    <row r="686" spans="1:56" ht="12.75">
      <c r="A686" s="11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  <c r="AW686" s="12"/>
      <c r="AX686" s="12"/>
      <c r="AY686" s="12"/>
      <c r="AZ686" s="12"/>
      <c r="BA686" s="12"/>
      <c r="BB686" s="12"/>
      <c r="BC686" s="12"/>
      <c r="BD686" s="12"/>
    </row>
    <row r="687" spans="1:56" ht="12.75">
      <c r="A687" s="11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  <c r="AW687" s="12"/>
      <c r="AX687" s="12"/>
      <c r="AY687" s="12"/>
      <c r="AZ687" s="12"/>
      <c r="BA687" s="12"/>
      <c r="BB687" s="12"/>
      <c r="BC687" s="12"/>
      <c r="BD687" s="12"/>
    </row>
    <row r="688" spans="1:56" ht="12.75">
      <c r="A688" s="11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  <c r="AW688" s="12"/>
      <c r="AX688" s="12"/>
      <c r="AY688" s="12"/>
      <c r="AZ688" s="12"/>
      <c r="BA688" s="12"/>
      <c r="BB688" s="12"/>
      <c r="BC688" s="12"/>
      <c r="BD688" s="12"/>
    </row>
    <row r="689" spans="1:56" ht="12.75">
      <c r="A689" s="11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  <c r="AW689" s="12"/>
      <c r="AX689" s="12"/>
      <c r="AY689" s="12"/>
      <c r="AZ689" s="12"/>
      <c r="BA689" s="12"/>
      <c r="BB689" s="12"/>
      <c r="BC689" s="12"/>
      <c r="BD689" s="12"/>
    </row>
    <row r="690" spans="1:56" ht="12.75">
      <c r="A690" s="11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  <c r="AW690" s="12"/>
      <c r="AX690" s="12"/>
      <c r="AY690" s="12"/>
      <c r="AZ690" s="12"/>
      <c r="BA690" s="12"/>
      <c r="BB690" s="12"/>
      <c r="BC690" s="12"/>
      <c r="BD690" s="12"/>
    </row>
    <row r="691" spans="1:56" ht="12.75">
      <c r="A691" s="11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  <c r="AW691" s="12"/>
      <c r="AX691" s="12"/>
      <c r="AY691" s="12"/>
      <c r="AZ691" s="12"/>
      <c r="BA691" s="12"/>
      <c r="BB691" s="12"/>
      <c r="BC691" s="12"/>
      <c r="BD691" s="12"/>
    </row>
    <row r="692" spans="1:56" ht="12.75">
      <c r="A692" s="11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  <c r="AW692" s="12"/>
      <c r="AX692" s="12"/>
      <c r="AY692" s="12"/>
      <c r="AZ692" s="12"/>
      <c r="BA692" s="12"/>
      <c r="BB692" s="12"/>
      <c r="BC692" s="12"/>
      <c r="BD692" s="12"/>
    </row>
    <row r="693" spans="1:56" ht="12.75">
      <c r="A693" s="11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  <c r="AW693" s="12"/>
      <c r="AX693" s="12"/>
      <c r="AY693" s="12"/>
      <c r="AZ693" s="12"/>
      <c r="BA693" s="12"/>
      <c r="BB693" s="12"/>
      <c r="BC693" s="12"/>
      <c r="BD693" s="12"/>
    </row>
    <row r="694" spans="1:56" ht="12.75">
      <c r="A694" s="11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  <c r="AW694" s="12"/>
      <c r="AX694" s="12"/>
      <c r="AY694" s="12"/>
      <c r="AZ694" s="12"/>
      <c r="BA694" s="12"/>
      <c r="BB694" s="12"/>
      <c r="BC694" s="12"/>
      <c r="BD694" s="12"/>
    </row>
    <row r="695" spans="1:56" ht="12.75">
      <c r="A695" s="11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  <c r="AW695" s="12"/>
      <c r="AX695" s="12"/>
      <c r="AY695" s="12"/>
      <c r="AZ695" s="12"/>
      <c r="BA695" s="12"/>
      <c r="BB695" s="12"/>
      <c r="BC695" s="12"/>
      <c r="BD695" s="12"/>
    </row>
    <row r="696" spans="1:56" ht="12.75">
      <c r="A696" s="11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  <c r="AW696" s="12"/>
      <c r="AX696" s="12"/>
      <c r="AY696" s="12"/>
      <c r="AZ696" s="12"/>
      <c r="BA696" s="12"/>
      <c r="BB696" s="12"/>
      <c r="BC696" s="12"/>
      <c r="BD696" s="12"/>
    </row>
    <row r="697" spans="1:56" ht="12.75">
      <c r="A697" s="11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  <c r="AW697" s="12"/>
      <c r="AX697" s="12"/>
      <c r="AY697" s="12"/>
      <c r="AZ697" s="12"/>
      <c r="BA697" s="12"/>
      <c r="BB697" s="12"/>
      <c r="BC697" s="12"/>
      <c r="BD697" s="12"/>
    </row>
    <row r="698" spans="1:56" ht="12.75">
      <c r="A698" s="11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  <c r="AW698" s="12"/>
      <c r="AX698" s="12"/>
      <c r="AY698" s="12"/>
      <c r="AZ698" s="12"/>
      <c r="BA698" s="12"/>
      <c r="BB698" s="12"/>
      <c r="BC698" s="12"/>
      <c r="BD698" s="12"/>
    </row>
    <row r="699" spans="1:56" ht="12.75">
      <c r="A699" s="11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  <c r="AW699" s="12"/>
      <c r="AX699" s="12"/>
      <c r="AY699" s="12"/>
      <c r="AZ699" s="12"/>
      <c r="BA699" s="12"/>
      <c r="BB699" s="12"/>
      <c r="BC699" s="12"/>
      <c r="BD699" s="12"/>
    </row>
    <row r="700" spans="1:56" ht="12.75">
      <c r="A700" s="11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  <c r="AW700" s="12"/>
      <c r="AX700" s="12"/>
      <c r="AY700" s="12"/>
      <c r="AZ700" s="12"/>
      <c r="BA700" s="12"/>
      <c r="BB700" s="12"/>
      <c r="BC700" s="12"/>
      <c r="BD700" s="12"/>
    </row>
    <row r="701" spans="1:56" ht="12.75">
      <c r="A701" s="11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  <c r="AW701" s="12"/>
      <c r="AX701" s="12"/>
      <c r="AY701" s="12"/>
      <c r="AZ701" s="12"/>
      <c r="BA701" s="12"/>
      <c r="BB701" s="12"/>
      <c r="BC701" s="12"/>
      <c r="BD701" s="12"/>
    </row>
    <row r="702" spans="1:56" ht="12.75">
      <c r="A702" s="11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  <c r="AW702" s="12"/>
      <c r="AX702" s="12"/>
      <c r="AY702" s="12"/>
      <c r="AZ702" s="12"/>
      <c r="BA702" s="12"/>
      <c r="BB702" s="12"/>
      <c r="BC702" s="12"/>
      <c r="BD702" s="12"/>
    </row>
    <row r="703" spans="1:56" ht="12.75">
      <c r="A703" s="11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  <c r="AW703" s="12"/>
      <c r="AX703" s="12"/>
      <c r="AY703" s="12"/>
      <c r="AZ703" s="12"/>
      <c r="BA703" s="12"/>
      <c r="BB703" s="12"/>
      <c r="BC703" s="12"/>
      <c r="BD703" s="12"/>
    </row>
    <row r="704" spans="1:56" ht="12.75">
      <c r="A704" s="11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  <c r="AW704" s="12"/>
      <c r="AX704" s="12"/>
      <c r="AY704" s="12"/>
      <c r="AZ704" s="12"/>
      <c r="BA704" s="12"/>
      <c r="BB704" s="12"/>
      <c r="BC704" s="12"/>
      <c r="BD704" s="12"/>
    </row>
    <row r="705" spans="1:56" ht="12.75">
      <c r="A705" s="11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  <c r="AX705" s="12"/>
      <c r="AY705" s="12"/>
      <c r="AZ705" s="12"/>
      <c r="BA705" s="12"/>
      <c r="BB705" s="12"/>
      <c r="BC705" s="12"/>
      <c r="BD705" s="12"/>
    </row>
    <row r="706" spans="1:56" ht="12.75">
      <c r="A706" s="11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  <c r="AX706" s="12"/>
      <c r="AY706" s="12"/>
      <c r="AZ706" s="12"/>
      <c r="BA706" s="12"/>
      <c r="BB706" s="12"/>
      <c r="BC706" s="12"/>
      <c r="BD706" s="12"/>
    </row>
    <row r="707" spans="1:56" ht="12.75">
      <c r="A707" s="11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  <c r="AW707" s="12"/>
      <c r="AX707" s="12"/>
      <c r="AY707" s="12"/>
      <c r="AZ707" s="12"/>
      <c r="BA707" s="12"/>
      <c r="BB707" s="12"/>
      <c r="BC707" s="12"/>
      <c r="BD707" s="12"/>
    </row>
    <row r="708" spans="1:56" ht="12.75">
      <c r="A708" s="11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  <c r="AW708" s="12"/>
      <c r="AX708" s="12"/>
      <c r="AY708" s="12"/>
      <c r="AZ708" s="12"/>
      <c r="BA708" s="12"/>
      <c r="BB708" s="12"/>
      <c r="BC708" s="12"/>
      <c r="BD708" s="12"/>
    </row>
    <row r="709" spans="1:56" ht="12.75">
      <c r="A709" s="11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  <c r="AW709" s="12"/>
      <c r="AX709" s="12"/>
      <c r="AY709" s="12"/>
      <c r="AZ709" s="12"/>
      <c r="BA709" s="12"/>
      <c r="BB709" s="12"/>
      <c r="BC709" s="12"/>
      <c r="BD709" s="12"/>
    </row>
    <row r="710" spans="1:56" ht="12.75">
      <c r="A710" s="11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  <c r="AW710" s="12"/>
      <c r="AX710" s="12"/>
      <c r="AY710" s="12"/>
      <c r="AZ710" s="12"/>
      <c r="BA710" s="12"/>
      <c r="BB710" s="12"/>
      <c r="BC710" s="12"/>
      <c r="BD710" s="12"/>
    </row>
    <row r="711" spans="1:56" ht="12.75">
      <c r="A711" s="11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  <c r="AW711" s="12"/>
      <c r="AX711" s="12"/>
      <c r="AY711" s="12"/>
      <c r="AZ711" s="12"/>
      <c r="BA711" s="12"/>
      <c r="BB711" s="12"/>
      <c r="BC711" s="12"/>
      <c r="BD711" s="12"/>
    </row>
    <row r="712" spans="1:56" ht="12.75">
      <c r="A712" s="11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  <c r="AX712" s="12"/>
      <c r="AY712" s="12"/>
      <c r="AZ712" s="12"/>
      <c r="BA712" s="12"/>
      <c r="BB712" s="12"/>
      <c r="BC712" s="12"/>
      <c r="BD712" s="12"/>
    </row>
    <row r="713" spans="1:56" ht="12.75">
      <c r="A713" s="11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  <c r="AW713" s="12"/>
      <c r="AX713" s="12"/>
      <c r="AY713" s="12"/>
      <c r="AZ713" s="12"/>
      <c r="BA713" s="12"/>
      <c r="BB713" s="12"/>
      <c r="BC713" s="12"/>
      <c r="BD713" s="12"/>
    </row>
    <row r="714" spans="1:56" ht="12.75">
      <c r="A714" s="11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  <c r="AW714" s="12"/>
      <c r="AX714" s="12"/>
      <c r="AY714" s="12"/>
      <c r="AZ714" s="12"/>
      <c r="BA714" s="12"/>
      <c r="BB714" s="12"/>
      <c r="BC714" s="12"/>
      <c r="BD714" s="12"/>
    </row>
    <row r="715" spans="1:56" ht="12.75">
      <c r="A715" s="11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  <c r="AW715" s="12"/>
      <c r="AX715" s="12"/>
      <c r="AY715" s="12"/>
      <c r="AZ715" s="12"/>
      <c r="BA715" s="12"/>
      <c r="BB715" s="12"/>
      <c r="BC715" s="12"/>
      <c r="BD715" s="12"/>
    </row>
    <row r="716" spans="1:56" ht="12.75">
      <c r="A716" s="11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  <c r="AX716" s="12"/>
      <c r="AY716" s="12"/>
      <c r="AZ716" s="12"/>
      <c r="BA716" s="12"/>
      <c r="BB716" s="12"/>
      <c r="BC716" s="12"/>
      <c r="BD716" s="12"/>
    </row>
    <row r="717" spans="1:56" ht="12.75">
      <c r="A717" s="11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  <c r="AX717" s="12"/>
      <c r="AY717" s="12"/>
      <c r="AZ717" s="12"/>
      <c r="BA717" s="12"/>
      <c r="BB717" s="12"/>
      <c r="BC717" s="12"/>
      <c r="BD717" s="12"/>
    </row>
    <row r="718" spans="1:56" ht="12.75">
      <c r="A718" s="11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2"/>
      <c r="AX718" s="12"/>
      <c r="AY718" s="12"/>
      <c r="AZ718" s="12"/>
      <c r="BA718" s="12"/>
      <c r="BB718" s="12"/>
      <c r="BC718" s="12"/>
      <c r="BD718" s="12"/>
    </row>
    <row r="719" spans="1:56" ht="12.75">
      <c r="A719" s="11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  <c r="AW719" s="12"/>
      <c r="AX719" s="12"/>
      <c r="AY719" s="12"/>
      <c r="AZ719" s="12"/>
      <c r="BA719" s="12"/>
      <c r="BB719" s="12"/>
      <c r="BC719" s="12"/>
      <c r="BD719" s="12"/>
    </row>
    <row r="720" spans="1:56" ht="12.75">
      <c r="A720" s="11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  <c r="AW720" s="12"/>
      <c r="AX720" s="12"/>
      <c r="AY720" s="12"/>
      <c r="AZ720" s="12"/>
      <c r="BA720" s="12"/>
      <c r="BB720" s="12"/>
      <c r="BC720" s="12"/>
      <c r="BD720" s="12"/>
    </row>
    <row r="721" spans="1:56" ht="12.75">
      <c r="A721" s="11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  <c r="AW721" s="12"/>
      <c r="AX721" s="12"/>
      <c r="AY721" s="12"/>
      <c r="AZ721" s="12"/>
      <c r="BA721" s="12"/>
      <c r="BB721" s="12"/>
      <c r="BC721" s="12"/>
      <c r="BD721" s="12"/>
    </row>
    <row r="722" spans="1:56" ht="12.75">
      <c r="A722" s="11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  <c r="AW722" s="12"/>
      <c r="AX722" s="12"/>
      <c r="AY722" s="12"/>
      <c r="AZ722" s="12"/>
      <c r="BA722" s="12"/>
      <c r="BB722" s="12"/>
      <c r="BC722" s="12"/>
      <c r="BD722" s="12"/>
    </row>
    <row r="723" spans="1:56" ht="12.75">
      <c r="A723" s="11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  <c r="AW723" s="12"/>
      <c r="AX723" s="12"/>
      <c r="AY723" s="12"/>
      <c r="AZ723" s="12"/>
      <c r="BA723" s="12"/>
      <c r="BB723" s="12"/>
      <c r="BC723" s="12"/>
      <c r="BD723" s="12"/>
    </row>
    <row r="724" spans="1:56" ht="12.75">
      <c r="A724" s="11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  <c r="AW724" s="12"/>
      <c r="AX724" s="12"/>
      <c r="AY724" s="12"/>
      <c r="AZ724" s="12"/>
      <c r="BA724" s="12"/>
      <c r="BB724" s="12"/>
      <c r="BC724" s="12"/>
      <c r="BD724" s="12"/>
    </row>
    <row r="725" spans="1:56" ht="12.75">
      <c r="A725" s="11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  <c r="AW725" s="12"/>
      <c r="AX725" s="12"/>
      <c r="AY725" s="12"/>
      <c r="AZ725" s="12"/>
      <c r="BA725" s="12"/>
      <c r="BB725" s="12"/>
      <c r="BC725" s="12"/>
      <c r="BD725" s="12"/>
    </row>
    <row r="726" spans="1:56" ht="12.75">
      <c r="A726" s="11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  <c r="AW726" s="12"/>
      <c r="AX726" s="12"/>
      <c r="AY726" s="12"/>
      <c r="AZ726" s="12"/>
      <c r="BA726" s="12"/>
      <c r="BB726" s="12"/>
      <c r="BC726" s="12"/>
      <c r="BD726" s="12"/>
    </row>
    <row r="727" spans="1:56" ht="12.75">
      <c r="A727" s="11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  <c r="AW727" s="12"/>
      <c r="AX727" s="12"/>
      <c r="AY727" s="12"/>
      <c r="AZ727" s="12"/>
      <c r="BA727" s="12"/>
      <c r="BB727" s="12"/>
      <c r="BC727" s="12"/>
      <c r="BD727" s="12"/>
    </row>
    <row r="728" spans="1:56" ht="12.75">
      <c r="A728" s="11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  <c r="AX728" s="12"/>
      <c r="AY728" s="12"/>
      <c r="AZ728" s="12"/>
      <c r="BA728" s="12"/>
      <c r="BB728" s="12"/>
      <c r="BC728" s="12"/>
      <c r="BD728" s="12"/>
    </row>
    <row r="729" spans="1:56" ht="12.75">
      <c r="A729" s="11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  <c r="AW729" s="12"/>
      <c r="AX729" s="12"/>
      <c r="AY729" s="12"/>
      <c r="AZ729" s="12"/>
      <c r="BA729" s="12"/>
      <c r="BB729" s="12"/>
      <c r="BC729" s="12"/>
      <c r="BD729" s="12"/>
    </row>
    <row r="730" spans="1:56" ht="12.75">
      <c r="A730" s="11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  <c r="AW730" s="12"/>
      <c r="AX730" s="12"/>
      <c r="AY730" s="12"/>
      <c r="AZ730" s="12"/>
      <c r="BA730" s="12"/>
      <c r="BB730" s="12"/>
      <c r="BC730" s="12"/>
      <c r="BD730" s="12"/>
    </row>
    <row r="731" spans="1:56" ht="12.75">
      <c r="A731" s="11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  <c r="AW731" s="12"/>
      <c r="AX731" s="12"/>
      <c r="AY731" s="12"/>
      <c r="AZ731" s="12"/>
      <c r="BA731" s="12"/>
      <c r="BB731" s="12"/>
      <c r="BC731" s="12"/>
      <c r="BD731" s="12"/>
    </row>
    <row r="732" spans="1:56" ht="12.75">
      <c r="A732" s="11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  <c r="AX732" s="12"/>
      <c r="AY732" s="12"/>
      <c r="AZ732" s="12"/>
      <c r="BA732" s="12"/>
      <c r="BB732" s="12"/>
      <c r="BC732" s="12"/>
      <c r="BD732" s="12"/>
    </row>
    <row r="733" spans="1:56" ht="12.75">
      <c r="A733" s="11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  <c r="AW733" s="12"/>
      <c r="AX733" s="12"/>
      <c r="AY733" s="12"/>
      <c r="AZ733" s="12"/>
      <c r="BA733" s="12"/>
      <c r="BB733" s="12"/>
      <c r="BC733" s="12"/>
      <c r="BD733" s="12"/>
    </row>
    <row r="734" spans="1:56" ht="12.75">
      <c r="A734" s="11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  <c r="AW734" s="12"/>
      <c r="AX734" s="12"/>
      <c r="AY734" s="12"/>
      <c r="AZ734" s="12"/>
      <c r="BA734" s="12"/>
      <c r="BB734" s="12"/>
      <c r="BC734" s="12"/>
      <c r="BD734" s="12"/>
    </row>
    <row r="735" spans="1:56" ht="12.75">
      <c r="A735" s="11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  <c r="AW735" s="12"/>
      <c r="AX735" s="12"/>
      <c r="AY735" s="12"/>
      <c r="AZ735" s="12"/>
      <c r="BA735" s="12"/>
      <c r="BB735" s="12"/>
      <c r="BC735" s="12"/>
      <c r="BD735" s="12"/>
    </row>
    <row r="736" spans="1:56" ht="12.75">
      <c r="A736" s="11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  <c r="AW736" s="12"/>
      <c r="AX736" s="12"/>
      <c r="AY736" s="12"/>
      <c r="AZ736" s="12"/>
      <c r="BA736" s="12"/>
      <c r="BB736" s="12"/>
      <c r="BC736" s="12"/>
      <c r="BD736" s="12"/>
    </row>
    <row r="737" spans="1:56" ht="12.75">
      <c r="A737" s="11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  <c r="AW737" s="12"/>
      <c r="AX737" s="12"/>
      <c r="AY737" s="12"/>
      <c r="AZ737" s="12"/>
      <c r="BA737" s="12"/>
      <c r="BB737" s="12"/>
      <c r="BC737" s="12"/>
      <c r="BD737" s="12"/>
    </row>
    <row r="738" spans="1:56" ht="12.75">
      <c r="A738" s="11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  <c r="AW738" s="12"/>
      <c r="AX738" s="12"/>
      <c r="AY738" s="12"/>
      <c r="AZ738" s="12"/>
      <c r="BA738" s="12"/>
      <c r="BB738" s="12"/>
      <c r="BC738" s="12"/>
      <c r="BD738" s="12"/>
    </row>
    <row r="739" spans="1:56" ht="12.75">
      <c r="A739" s="11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  <c r="AW739" s="12"/>
      <c r="AX739" s="12"/>
      <c r="AY739" s="12"/>
      <c r="AZ739" s="12"/>
      <c r="BA739" s="12"/>
      <c r="BB739" s="12"/>
      <c r="BC739" s="12"/>
      <c r="BD739" s="12"/>
    </row>
    <row r="740" spans="1:56" ht="12.75">
      <c r="A740" s="11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  <c r="AW740" s="12"/>
      <c r="AX740" s="12"/>
      <c r="AY740" s="12"/>
      <c r="AZ740" s="12"/>
      <c r="BA740" s="12"/>
      <c r="BB740" s="12"/>
      <c r="BC740" s="12"/>
      <c r="BD740" s="12"/>
    </row>
    <row r="741" spans="1:56" ht="12.75">
      <c r="A741" s="11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  <c r="AW741" s="12"/>
      <c r="AX741" s="12"/>
      <c r="AY741" s="12"/>
      <c r="AZ741" s="12"/>
      <c r="BA741" s="12"/>
      <c r="BB741" s="12"/>
      <c r="BC741" s="12"/>
      <c r="BD741" s="12"/>
    </row>
    <row r="742" spans="1:56" ht="12.75">
      <c r="A742" s="11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2"/>
      <c r="AX742" s="12"/>
      <c r="AY742" s="12"/>
      <c r="AZ742" s="12"/>
      <c r="BA742" s="12"/>
      <c r="BB742" s="12"/>
      <c r="BC742" s="12"/>
      <c r="BD742" s="12"/>
    </row>
    <row r="743" spans="1:56" ht="12.75">
      <c r="A743" s="11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  <c r="AW743" s="12"/>
      <c r="AX743" s="12"/>
      <c r="AY743" s="12"/>
      <c r="AZ743" s="12"/>
      <c r="BA743" s="12"/>
      <c r="BB743" s="12"/>
      <c r="BC743" s="12"/>
      <c r="BD743" s="12"/>
    </row>
    <row r="744" spans="1:56" ht="12.75">
      <c r="A744" s="11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2"/>
      <c r="AX744" s="12"/>
      <c r="AY744" s="12"/>
      <c r="AZ744" s="12"/>
      <c r="BA744" s="12"/>
      <c r="BB744" s="12"/>
      <c r="BC744" s="12"/>
      <c r="BD744" s="12"/>
    </row>
    <row r="745" spans="1:56" ht="12.75">
      <c r="A745" s="11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  <c r="AW745" s="12"/>
      <c r="AX745" s="12"/>
      <c r="AY745" s="12"/>
      <c r="AZ745" s="12"/>
      <c r="BA745" s="12"/>
      <c r="BB745" s="12"/>
      <c r="BC745" s="12"/>
      <c r="BD745" s="12"/>
    </row>
    <row r="746" spans="1:56" ht="12.75">
      <c r="A746" s="11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  <c r="AW746" s="12"/>
      <c r="AX746" s="12"/>
      <c r="AY746" s="12"/>
      <c r="AZ746" s="12"/>
      <c r="BA746" s="12"/>
      <c r="BB746" s="12"/>
      <c r="BC746" s="12"/>
      <c r="BD746" s="12"/>
    </row>
    <row r="747" spans="1:56" ht="12.75">
      <c r="A747" s="11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  <c r="AW747" s="12"/>
      <c r="AX747" s="12"/>
      <c r="AY747" s="12"/>
      <c r="AZ747" s="12"/>
      <c r="BA747" s="12"/>
      <c r="BB747" s="12"/>
      <c r="BC747" s="12"/>
      <c r="BD747" s="12"/>
    </row>
    <row r="748" spans="1:56" ht="12.75">
      <c r="A748" s="11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  <c r="AW748" s="12"/>
      <c r="AX748" s="12"/>
      <c r="AY748" s="12"/>
      <c r="AZ748" s="12"/>
      <c r="BA748" s="12"/>
      <c r="BB748" s="12"/>
      <c r="BC748" s="12"/>
      <c r="BD748" s="12"/>
    </row>
    <row r="749" spans="1:56" ht="12.75">
      <c r="A749" s="11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  <c r="AW749" s="12"/>
      <c r="AX749" s="12"/>
      <c r="AY749" s="12"/>
      <c r="AZ749" s="12"/>
      <c r="BA749" s="12"/>
      <c r="BB749" s="12"/>
      <c r="BC749" s="12"/>
      <c r="BD749" s="12"/>
    </row>
    <row r="750" spans="1:56" ht="12.75">
      <c r="A750" s="11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  <c r="AW750" s="12"/>
      <c r="AX750" s="12"/>
      <c r="AY750" s="12"/>
      <c r="AZ750" s="12"/>
      <c r="BA750" s="12"/>
      <c r="BB750" s="12"/>
      <c r="BC750" s="12"/>
      <c r="BD750" s="12"/>
    </row>
    <row r="751" spans="1:56" ht="12.75">
      <c r="A751" s="11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  <c r="AW751" s="12"/>
      <c r="AX751" s="12"/>
      <c r="AY751" s="12"/>
      <c r="AZ751" s="12"/>
      <c r="BA751" s="12"/>
      <c r="BB751" s="12"/>
      <c r="BC751" s="12"/>
      <c r="BD751" s="12"/>
    </row>
    <row r="752" spans="1:56" ht="12.75">
      <c r="A752" s="11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  <c r="AW752" s="12"/>
      <c r="AX752" s="12"/>
      <c r="AY752" s="12"/>
      <c r="AZ752" s="12"/>
      <c r="BA752" s="12"/>
      <c r="BB752" s="12"/>
      <c r="BC752" s="12"/>
      <c r="BD752" s="12"/>
    </row>
    <row r="753" spans="1:56" ht="12.75">
      <c r="A753" s="11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  <c r="AU753" s="12"/>
      <c r="AV753" s="12"/>
      <c r="AW753" s="12"/>
      <c r="AX753" s="12"/>
      <c r="AY753" s="12"/>
      <c r="AZ753" s="12"/>
      <c r="BA753" s="12"/>
      <c r="BB753" s="12"/>
      <c r="BC753" s="12"/>
      <c r="BD753" s="12"/>
    </row>
    <row r="754" spans="1:56" ht="12.75">
      <c r="A754" s="11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  <c r="AW754" s="12"/>
      <c r="AX754" s="12"/>
      <c r="AY754" s="12"/>
      <c r="AZ754" s="12"/>
      <c r="BA754" s="12"/>
      <c r="BB754" s="12"/>
      <c r="BC754" s="12"/>
      <c r="BD754" s="12"/>
    </row>
    <row r="755" spans="1:56" ht="12.75">
      <c r="A755" s="11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  <c r="AS755" s="12"/>
      <c r="AT755" s="12"/>
      <c r="AU755" s="12"/>
      <c r="AV755" s="12"/>
      <c r="AW755" s="12"/>
      <c r="AX755" s="12"/>
      <c r="AY755" s="12"/>
      <c r="AZ755" s="12"/>
      <c r="BA755" s="12"/>
      <c r="BB755" s="12"/>
      <c r="BC755" s="12"/>
      <c r="BD755" s="12"/>
    </row>
    <row r="756" spans="1:56" ht="12.75">
      <c r="A756" s="11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2"/>
      <c r="AX756" s="12"/>
      <c r="AY756" s="12"/>
      <c r="AZ756" s="12"/>
      <c r="BA756" s="12"/>
      <c r="BB756" s="12"/>
      <c r="BC756" s="12"/>
      <c r="BD756" s="12"/>
    </row>
    <row r="757" spans="1:56" ht="12.75">
      <c r="A757" s="11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  <c r="AW757" s="12"/>
      <c r="AX757" s="12"/>
      <c r="AY757" s="12"/>
      <c r="AZ757" s="12"/>
      <c r="BA757" s="12"/>
      <c r="BB757" s="12"/>
      <c r="BC757" s="12"/>
      <c r="BD757" s="12"/>
    </row>
    <row r="758" spans="1:56" ht="12.75">
      <c r="A758" s="11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  <c r="AW758" s="12"/>
      <c r="AX758" s="12"/>
      <c r="AY758" s="12"/>
      <c r="AZ758" s="12"/>
      <c r="BA758" s="12"/>
      <c r="BB758" s="12"/>
      <c r="BC758" s="12"/>
      <c r="BD758" s="12"/>
    </row>
    <row r="759" spans="1:56" ht="12.75">
      <c r="A759" s="11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  <c r="AW759" s="12"/>
      <c r="AX759" s="12"/>
      <c r="AY759" s="12"/>
      <c r="AZ759" s="12"/>
      <c r="BA759" s="12"/>
      <c r="BB759" s="12"/>
      <c r="BC759" s="12"/>
      <c r="BD759" s="12"/>
    </row>
    <row r="760" spans="1:56" ht="12.75">
      <c r="A760" s="11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  <c r="AW760" s="12"/>
      <c r="AX760" s="12"/>
      <c r="AY760" s="12"/>
      <c r="AZ760" s="12"/>
      <c r="BA760" s="12"/>
      <c r="BB760" s="12"/>
      <c r="BC760" s="12"/>
      <c r="BD760" s="12"/>
    </row>
    <row r="761" spans="1:56" ht="12.75">
      <c r="A761" s="11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  <c r="AS761" s="12"/>
      <c r="AT761" s="12"/>
      <c r="AU761" s="12"/>
      <c r="AV761" s="12"/>
      <c r="AW761" s="12"/>
      <c r="AX761" s="12"/>
      <c r="AY761" s="12"/>
      <c r="AZ761" s="12"/>
      <c r="BA761" s="12"/>
      <c r="BB761" s="12"/>
      <c r="BC761" s="12"/>
      <c r="BD761" s="12"/>
    </row>
    <row r="762" spans="1:56" ht="12.75">
      <c r="A762" s="11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  <c r="AW762" s="12"/>
      <c r="AX762" s="12"/>
      <c r="AY762" s="12"/>
      <c r="AZ762" s="12"/>
      <c r="BA762" s="12"/>
      <c r="BB762" s="12"/>
      <c r="BC762" s="12"/>
      <c r="BD762" s="12"/>
    </row>
    <row r="763" spans="1:56" ht="12.75">
      <c r="A763" s="11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  <c r="AW763" s="12"/>
      <c r="AX763" s="12"/>
      <c r="AY763" s="12"/>
      <c r="AZ763" s="12"/>
      <c r="BA763" s="12"/>
      <c r="BB763" s="12"/>
      <c r="BC763" s="12"/>
      <c r="BD763" s="12"/>
    </row>
    <row r="764" spans="1:56" ht="12.75">
      <c r="A764" s="11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  <c r="AW764" s="12"/>
      <c r="AX764" s="12"/>
      <c r="AY764" s="12"/>
      <c r="AZ764" s="12"/>
      <c r="BA764" s="12"/>
      <c r="BB764" s="12"/>
      <c r="BC764" s="12"/>
      <c r="BD764" s="12"/>
    </row>
    <row r="765" spans="1:56" ht="12.75">
      <c r="A765" s="11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  <c r="AW765" s="12"/>
      <c r="AX765" s="12"/>
      <c r="AY765" s="12"/>
      <c r="AZ765" s="12"/>
      <c r="BA765" s="12"/>
      <c r="BB765" s="12"/>
      <c r="BC765" s="12"/>
      <c r="BD765" s="12"/>
    </row>
    <row r="766" spans="1:56" ht="12.75">
      <c r="A766" s="11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  <c r="AW766" s="12"/>
      <c r="AX766" s="12"/>
      <c r="AY766" s="12"/>
      <c r="AZ766" s="12"/>
      <c r="BA766" s="12"/>
      <c r="BB766" s="12"/>
      <c r="BC766" s="12"/>
      <c r="BD766" s="12"/>
    </row>
    <row r="767" spans="1:56" ht="12.75">
      <c r="A767" s="11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  <c r="AW767" s="12"/>
      <c r="AX767" s="12"/>
      <c r="AY767" s="12"/>
      <c r="AZ767" s="12"/>
      <c r="BA767" s="12"/>
      <c r="BB767" s="12"/>
      <c r="BC767" s="12"/>
      <c r="BD767" s="12"/>
    </row>
    <row r="768" spans="1:56" ht="12.75">
      <c r="A768" s="11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  <c r="AW768" s="12"/>
      <c r="AX768" s="12"/>
      <c r="AY768" s="12"/>
      <c r="AZ768" s="12"/>
      <c r="BA768" s="12"/>
      <c r="BB768" s="12"/>
      <c r="BC768" s="12"/>
      <c r="BD768" s="12"/>
    </row>
    <row r="769" spans="1:56" ht="12.75">
      <c r="A769" s="11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  <c r="AW769" s="12"/>
      <c r="AX769" s="12"/>
      <c r="AY769" s="12"/>
      <c r="AZ769" s="12"/>
      <c r="BA769" s="12"/>
      <c r="BB769" s="12"/>
      <c r="BC769" s="12"/>
      <c r="BD769" s="12"/>
    </row>
    <row r="770" spans="1:56" ht="12.75">
      <c r="A770" s="11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  <c r="AW770" s="12"/>
      <c r="AX770" s="12"/>
      <c r="AY770" s="12"/>
      <c r="AZ770" s="12"/>
      <c r="BA770" s="12"/>
      <c r="BB770" s="12"/>
      <c r="BC770" s="12"/>
      <c r="BD770" s="12"/>
    </row>
    <row r="771" spans="1:56" ht="12.75">
      <c r="A771" s="11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12"/>
      <c r="AT771" s="12"/>
      <c r="AU771" s="12"/>
      <c r="AV771" s="12"/>
      <c r="AW771" s="12"/>
      <c r="AX771" s="12"/>
      <c r="AY771" s="12"/>
      <c r="AZ771" s="12"/>
      <c r="BA771" s="12"/>
      <c r="BB771" s="12"/>
      <c r="BC771" s="12"/>
      <c r="BD771" s="12"/>
    </row>
    <row r="772" spans="1:56" ht="12.75">
      <c r="A772" s="11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  <c r="AW772" s="12"/>
      <c r="AX772" s="12"/>
      <c r="AY772" s="12"/>
      <c r="AZ772" s="12"/>
      <c r="BA772" s="12"/>
      <c r="BB772" s="12"/>
      <c r="BC772" s="12"/>
      <c r="BD772" s="12"/>
    </row>
    <row r="773" spans="1:56" ht="12.75">
      <c r="A773" s="11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  <c r="AW773" s="12"/>
      <c r="AX773" s="12"/>
      <c r="AY773" s="12"/>
      <c r="AZ773" s="12"/>
      <c r="BA773" s="12"/>
      <c r="BB773" s="12"/>
      <c r="BC773" s="12"/>
      <c r="BD773" s="12"/>
    </row>
    <row r="774" spans="1:56" ht="12.75">
      <c r="A774" s="11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  <c r="AW774" s="12"/>
      <c r="AX774" s="12"/>
      <c r="AY774" s="12"/>
      <c r="AZ774" s="12"/>
      <c r="BA774" s="12"/>
      <c r="BB774" s="12"/>
      <c r="BC774" s="12"/>
      <c r="BD774" s="12"/>
    </row>
    <row r="775" spans="1:56" ht="12.75">
      <c r="A775" s="11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  <c r="AW775" s="12"/>
      <c r="AX775" s="12"/>
      <c r="AY775" s="12"/>
      <c r="AZ775" s="12"/>
      <c r="BA775" s="12"/>
      <c r="BB775" s="12"/>
      <c r="BC775" s="12"/>
      <c r="BD775" s="12"/>
    </row>
    <row r="776" spans="1:56" ht="12.75">
      <c r="A776" s="11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  <c r="AW776" s="12"/>
      <c r="AX776" s="12"/>
      <c r="AY776" s="12"/>
      <c r="AZ776" s="12"/>
      <c r="BA776" s="12"/>
      <c r="BB776" s="12"/>
      <c r="BC776" s="12"/>
      <c r="BD776" s="12"/>
    </row>
    <row r="777" spans="1:56" ht="12.75">
      <c r="A777" s="11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12"/>
      <c r="AT777" s="12"/>
      <c r="AU777" s="12"/>
      <c r="AV777" s="12"/>
      <c r="AW777" s="12"/>
      <c r="AX777" s="12"/>
      <c r="AY777" s="12"/>
      <c r="AZ777" s="12"/>
      <c r="BA777" s="12"/>
      <c r="BB777" s="12"/>
      <c r="BC777" s="12"/>
      <c r="BD777" s="12"/>
    </row>
    <row r="778" spans="1:56" ht="12.75">
      <c r="A778" s="11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  <c r="AW778" s="12"/>
      <c r="AX778" s="12"/>
      <c r="AY778" s="12"/>
      <c r="AZ778" s="12"/>
      <c r="BA778" s="12"/>
      <c r="BB778" s="12"/>
      <c r="BC778" s="12"/>
      <c r="BD778" s="12"/>
    </row>
    <row r="779" spans="1:56" ht="12.75">
      <c r="A779" s="11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  <c r="AW779" s="12"/>
      <c r="AX779" s="12"/>
      <c r="AY779" s="12"/>
      <c r="AZ779" s="12"/>
      <c r="BA779" s="12"/>
      <c r="BB779" s="12"/>
      <c r="BC779" s="12"/>
      <c r="BD779" s="12"/>
    </row>
    <row r="780" spans="1:56" ht="12.75">
      <c r="A780" s="11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  <c r="AW780" s="12"/>
      <c r="AX780" s="12"/>
      <c r="AY780" s="12"/>
      <c r="AZ780" s="12"/>
      <c r="BA780" s="12"/>
      <c r="BB780" s="12"/>
      <c r="BC780" s="12"/>
      <c r="BD780" s="12"/>
    </row>
    <row r="781" spans="1:56" ht="12.75">
      <c r="A781" s="11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  <c r="AW781" s="12"/>
      <c r="AX781" s="12"/>
      <c r="AY781" s="12"/>
      <c r="AZ781" s="12"/>
      <c r="BA781" s="12"/>
      <c r="BB781" s="12"/>
      <c r="BC781" s="12"/>
      <c r="BD781" s="12"/>
    </row>
    <row r="782" spans="1:56" ht="12.75">
      <c r="A782" s="11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  <c r="AX782" s="12"/>
      <c r="AY782" s="12"/>
      <c r="AZ782" s="12"/>
      <c r="BA782" s="12"/>
      <c r="BB782" s="12"/>
      <c r="BC782" s="12"/>
      <c r="BD782" s="12"/>
    </row>
    <row r="783" spans="1:56" ht="12.75">
      <c r="A783" s="11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  <c r="AW783" s="12"/>
      <c r="AX783" s="12"/>
      <c r="AY783" s="12"/>
      <c r="AZ783" s="12"/>
      <c r="BA783" s="12"/>
      <c r="BB783" s="12"/>
      <c r="BC783" s="12"/>
      <c r="BD783" s="12"/>
    </row>
    <row r="784" spans="1:56" ht="12.75">
      <c r="A784" s="11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  <c r="AW784" s="12"/>
      <c r="AX784" s="12"/>
      <c r="AY784" s="12"/>
      <c r="AZ784" s="12"/>
      <c r="BA784" s="12"/>
      <c r="BB784" s="12"/>
      <c r="BC784" s="12"/>
      <c r="BD784" s="12"/>
    </row>
    <row r="785" spans="1:56" ht="12.75">
      <c r="A785" s="11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  <c r="AW785" s="12"/>
      <c r="AX785" s="12"/>
      <c r="AY785" s="12"/>
      <c r="AZ785" s="12"/>
      <c r="BA785" s="12"/>
      <c r="BB785" s="12"/>
      <c r="BC785" s="12"/>
      <c r="BD785" s="12"/>
    </row>
    <row r="786" spans="1:56" ht="12.75">
      <c r="A786" s="11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  <c r="AW786" s="12"/>
      <c r="AX786" s="12"/>
      <c r="AY786" s="12"/>
      <c r="AZ786" s="12"/>
      <c r="BA786" s="12"/>
      <c r="BB786" s="12"/>
      <c r="BC786" s="12"/>
      <c r="BD786" s="12"/>
    </row>
    <row r="787" spans="1:56" ht="12.75">
      <c r="A787" s="11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  <c r="AW787" s="12"/>
      <c r="AX787" s="12"/>
      <c r="AY787" s="12"/>
      <c r="AZ787" s="12"/>
      <c r="BA787" s="12"/>
      <c r="BB787" s="12"/>
      <c r="BC787" s="12"/>
      <c r="BD787" s="12"/>
    </row>
    <row r="788" spans="1:56" ht="12.75">
      <c r="A788" s="11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  <c r="AX788" s="12"/>
      <c r="AY788" s="12"/>
      <c r="AZ788" s="12"/>
      <c r="BA788" s="12"/>
      <c r="BB788" s="12"/>
      <c r="BC788" s="12"/>
      <c r="BD788" s="12"/>
    </row>
    <row r="789" spans="1:56" ht="12.75">
      <c r="A789" s="11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  <c r="AS789" s="12"/>
      <c r="AT789" s="12"/>
      <c r="AU789" s="12"/>
      <c r="AV789" s="12"/>
      <c r="AW789" s="12"/>
      <c r="AX789" s="12"/>
      <c r="AY789" s="12"/>
      <c r="AZ789" s="12"/>
      <c r="BA789" s="12"/>
      <c r="BB789" s="12"/>
      <c r="BC789" s="12"/>
      <c r="BD789" s="12"/>
    </row>
    <row r="790" spans="1:56" ht="12.75">
      <c r="A790" s="11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  <c r="AW790" s="12"/>
      <c r="AX790" s="12"/>
      <c r="AY790" s="12"/>
      <c r="AZ790" s="12"/>
      <c r="BA790" s="12"/>
      <c r="BB790" s="12"/>
      <c r="BC790" s="12"/>
      <c r="BD790" s="12"/>
    </row>
    <row r="791" spans="1:56" ht="12.75">
      <c r="A791" s="11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  <c r="AW791" s="12"/>
      <c r="AX791" s="12"/>
      <c r="AY791" s="12"/>
      <c r="AZ791" s="12"/>
      <c r="BA791" s="12"/>
      <c r="BB791" s="12"/>
      <c r="BC791" s="12"/>
      <c r="BD791" s="12"/>
    </row>
    <row r="792" spans="1:56" ht="12.75">
      <c r="A792" s="11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  <c r="AW792" s="12"/>
      <c r="AX792" s="12"/>
      <c r="AY792" s="12"/>
      <c r="AZ792" s="12"/>
      <c r="BA792" s="12"/>
      <c r="BB792" s="12"/>
      <c r="BC792" s="12"/>
      <c r="BD792" s="12"/>
    </row>
    <row r="793" spans="1:56" ht="12.75">
      <c r="A793" s="11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  <c r="AT793" s="12"/>
      <c r="AU793" s="12"/>
      <c r="AV793" s="12"/>
      <c r="AW793" s="12"/>
      <c r="AX793" s="12"/>
      <c r="AY793" s="12"/>
      <c r="AZ793" s="12"/>
      <c r="BA793" s="12"/>
      <c r="BB793" s="12"/>
      <c r="BC793" s="12"/>
      <c r="BD793" s="12"/>
    </row>
    <row r="794" spans="1:56" ht="12.75">
      <c r="A794" s="11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  <c r="AW794" s="12"/>
      <c r="AX794" s="12"/>
      <c r="AY794" s="12"/>
      <c r="AZ794" s="12"/>
      <c r="BA794" s="12"/>
      <c r="BB794" s="12"/>
      <c r="BC794" s="12"/>
      <c r="BD794" s="12"/>
    </row>
    <row r="795" spans="1:56" ht="12.75">
      <c r="A795" s="11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  <c r="AT795" s="12"/>
      <c r="AU795" s="12"/>
      <c r="AV795" s="12"/>
      <c r="AW795" s="12"/>
      <c r="AX795" s="12"/>
      <c r="AY795" s="12"/>
      <c r="AZ795" s="12"/>
      <c r="BA795" s="12"/>
      <c r="BB795" s="12"/>
      <c r="BC795" s="12"/>
      <c r="BD795" s="12"/>
    </row>
    <row r="796" spans="1:56" ht="12.75">
      <c r="A796" s="11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  <c r="AW796" s="12"/>
      <c r="AX796" s="12"/>
      <c r="AY796" s="12"/>
      <c r="AZ796" s="12"/>
      <c r="BA796" s="12"/>
      <c r="BB796" s="12"/>
      <c r="BC796" s="12"/>
      <c r="BD796" s="12"/>
    </row>
    <row r="797" spans="1:56" ht="12.75">
      <c r="A797" s="11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12"/>
      <c r="AT797" s="12"/>
      <c r="AU797" s="12"/>
      <c r="AV797" s="12"/>
      <c r="AW797" s="12"/>
      <c r="AX797" s="12"/>
      <c r="AY797" s="12"/>
      <c r="AZ797" s="12"/>
      <c r="BA797" s="12"/>
      <c r="BB797" s="12"/>
      <c r="BC797" s="12"/>
      <c r="BD797" s="12"/>
    </row>
    <row r="798" spans="1:56" ht="12.75">
      <c r="A798" s="11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  <c r="AW798" s="12"/>
      <c r="AX798" s="12"/>
      <c r="AY798" s="12"/>
      <c r="AZ798" s="12"/>
      <c r="BA798" s="12"/>
      <c r="BB798" s="12"/>
      <c r="BC798" s="12"/>
      <c r="BD798" s="12"/>
    </row>
    <row r="799" spans="1:56" ht="12.75">
      <c r="A799" s="11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  <c r="AU799" s="12"/>
      <c r="AV799" s="12"/>
      <c r="AW799" s="12"/>
      <c r="AX799" s="12"/>
      <c r="AY799" s="12"/>
      <c r="AZ799" s="12"/>
      <c r="BA799" s="12"/>
      <c r="BB799" s="12"/>
      <c r="BC799" s="12"/>
      <c r="BD799" s="12"/>
    </row>
    <row r="800" spans="1:56" ht="12.75">
      <c r="A800" s="11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  <c r="AW800" s="12"/>
      <c r="AX800" s="12"/>
      <c r="AY800" s="12"/>
      <c r="AZ800" s="12"/>
      <c r="BA800" s="12"/>
      <c r="BB800" s="12"/>
      <c r="BC800" s="12"/>
      <c r="BD800" s="12"/>
    </row>
    <row r="801" spans="1:56" ht="12.75">
      <c r="A801" s="11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12"/>
      <c r="AT801" s="12"/>
      <c r="AU801" s="12"/>
      <c r="AV801" s="12"/>
      <c r="AW801" s="12"/>
      <c r="AX801" s="12"/>
      <c r="AY801" s="12"/>
      <c r="AZ801" s="12"/>
      <c r="BA801" s="12"/>
      <c r="BB801" s="12"/>
      <c r="BC801" s="12"/>
      <c r="BD801" s="12"/>
    </row>
    <row r="802" spans="1:56" ht="12.75">
      <c r="A802" s="11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  <c r="AW802" s="12"/>
      <c r="AX802" s="12"/>
      <c r="AY802" s="12"/>
      <c r="AZ802" s="12"/>
      <c r="BA802" s="12"/>
      <c r="BB802" s="12"/>
      <c r="BC802" s="12"/>
      <c r="BD802" s="12"/>
    </row>
    <row r="803" spans="1:56" ht="12.75">
      <c r="A803" s="11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  <c r="AS803" s="12"/>
      <c r="AT803" s="12"/>
      <c r="AU803" s="12"/>
      <c r="AV803" s="12"/>
      <c r="AW803" s="12"/>
      <c r="AX803" s="12"/>
      <c r="AY803" s="12"/>
      <c r="AZ803" s="12"/>
      <c r="BA803" s="12"/>
      <c r="BB803" s="12"/>
      <c r="BC803" s="12"/>
      <c r="BD803" s="12"/>
    </row>
    <row r="804" spans="1:56" ht="12.75">
      <c r="A804" s="11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  <c r="AW804" s="12"/>
      <c r="AX804" s="12"/>
      <c r="AY804" s="12"/>
      <c r="AZ804" s="12"/>
      <c r="BA804" s="12"/>
      <c r="BB804" s="12"/>
      <c r="BC804" s="12"/>
      <c r="BD804" s="12"/>
    </row>
    <row r="805" spans="1:56" ht="12.75">
      <c r="A805" s="11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  <c r="AS805" s="12"/>
      <c r="AT805" s="12"/>
      <c r="AU805" s="12"/>
      <c r="AV805" s="12"/>
      <c r="AW805" s="12"/>
      <c r="AX805" s="12"/>
      <c r="AY805" s="12"/>
      <c r="AZ805" s="12"/>
      <c r="BA805" s="12"/>
      <c r="BB805" s="12"/>
      <c r="BC805" s="12"/>
      <c r="BD805" s="12"/>
    </row>
    <row r="806" spans="1:56" ht="12.75">
      <c r="A806" s="11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  <c r="AW806" s="12"/>
      <c r="AX806" s="12"/>
      <c r="AY806" s="12"/>
      <c r="AZ806" s="12"/>
      <c r="BA806" s="12"/>
      <c r="BB806" s="12"/>
      <c r="BC806" s="12"/>
      <c r="BD806" s="12"/>
    </row>
    <row r="807" spans="1:56" ht="12.75">
      <c r="A807" s="11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  <c r="AT807" s="12"/>
      <c r="AU807" s="12"/>
      <c r="AV807" s="12"/>
      <c r="AW807" s="12"/>
      <c r="AX807" s="12"/>
      <c r="AY807" s="12"/>
      <c r="AZ807" s="12"/>
      <c r="BA807" s="12"/>
      <c r="BB807" s="12"/>
      <c r="BC807" s="12"/>
      <c r="BD807" s="12"/>
    </row>
    <row r="808" spans="1:56" ht="12.75">
      <c r="A808" s="11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  <c r="AW808" s="12"/>
      <c r="AX808" s="12"/>
      <c r="AY808" s="12"/>
      <c r="AZ808" s="12"/>
      <c r="BA808" s="12"/>
      <c r="BB808" s="12"/>
      <c r="BC808" s="12"/>
      <c r="BD808" s="12"/>
    </row>
    <row r="809" spans="1:56" ht="12.75">
      <c r="A809" s="11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  <c r="AS809" s="12"/>
      <c r="AT809" s="12"/>
      <c r="AU809" s="12"/>
      <c r="AV809" s="12"/>
      <c r="AW809" s="12"/>
      <c r="AX809" s="12"/>
      <c r="AY809" s="12"/>
      <c r="AZ809" s="12"/>
      <c r="BA809" s="12"/>
      <c r="BB809" s="12"/>
      <c r="BC809" s="12"/>
      <c r="BD809" s="12"/>
    </row>
    <row r="810" spans="1:56" ht="12.75">
      <c r="A810" s="11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  <c r="AW810" s="12"/>
      <c r="AX810" s="12"/>
      <c r="AY810" s="12"/>
      <c r="AZ810" s="12"/>
      <c r="BA810" s="12"/>
      <c r="BB810" s="12"/>
      <c r="BC810" s="12"/>
      <c r="BD810" s="12"/>
    </row>
    <row r="811" spans="1:56" ht="12.75">
      <c r="A811" s="11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12"/>
      <c r="AT811" s="12"/>
      <c r="AU811" s="12"/>
      <c r="AV811" s="12"/>
      <c r="AW811" s="12"/>
      <c r="AX811" s="12"/>
      <c r="AY811" s="12"/>
      <c r="AZ811" s="12"/>
      <c r="BA811" s="12"/>
      <c r="BB811" s="12"/>
      <c r="BC811" s="12"/>
      <c r="BD811" s="12"/>
    </row>
    <row r="812" spans="1:56" ht="12.75">
      <c r="A812" s="11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  <c r="AW812" s="12"/>
      <c r="AX812" s="12"/>
      <c r="AY812" s="12"/>
      <c r="AZ812" s="12"/>
      <c r="BA812" s="12"/>
      <c r="BB812" s="12"/>
      <c r="BC812" s="12"/>
      <c r="BD812" s="12"/>
    </row>
    <row r="813" spans="1:56" ht="12.75">
      <c r="A813" s="11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  <c r="AW813" s="12"/>
      <c r="AX813" s="12"/>
      <c r="AY813" s="12"/>
      <c r="AZ813" s="12"/>
      <c r="BA813" s="12"/>
      <c r="BB813" s="12"/>
      <c r="BC813" s="12"/>
      <c r="BD813" s="12"/>
    </row>
    <row r="814" spans="1:56" ht="12.75">
      <c r="A814" s="11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  <c r="AW814" s="12"/>
      <c r="AX814" s="12"/>
      <c r="AY814" s="12"/>
      <c r="AZ814" s="12"/>
      <c r="BA814" s="12"/>
      <c r="BB814" s="12"/>
      <c r="BC814" s="12"/>
      <c r="BD814" s="12"/>
    </row>
    <row r="815" spans="1:56" ht="12.75">
      <c r="A815" s="11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  <c r="AS815" s="12"/>
      <c r="AT815" s="12"/>
      <c r="AU815" s="12"/>
      <c r="AV815" s="12"/>
      <c r="AW815" s="12"/>
      <c r="AX815" s="12"/>
      <c r="AY815" s="12"/>
      <c r="AZ815" s="12"/>
      <c r="BA815" s="12"/>
      <c r="BB815" s="12"/>
      <c r="BC815" s="12"/>
      <c r="BD815" s="12"/>
    </row>
    <row r="816" spans="1:56" ht="12.75">
      <c r="A816" s="11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  <c r="AW816" s="12"/>
      <c r="AX816" s="12"/>
      <c r="AY816" s="12"/>
      <c r="AZ816" s="12"/>
      <c r="BA816" s="12"/>
      <c r="BB816" s="12"/>
      <c r="BC816" s="12"/>
      <c r="BD816" s="12"/>
    </row>
    <row r="817" spans="1:56" ht="12.75">
      <c r="A817" s="11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  <c r="AS817" s="12"/>
      <c r="AT817" s="12"/>
      <c r="AU817" s="12"/>
      <c r="AV817" s="12"/>
      <c r="AW817" s="12"/>
      <c r="AX817" s="12"/>
      <c r="AY817" s="12"/>
      <c r="AZ817" s="12"/>
      <c r="BA817" s="12"/>
      <c r="BB817" s="12"/>
      <c r="BC817" s="12"/>
      <c r="BD817" s="12"/>
    </row>
    <row r="818" spans="1:56" ht="12.75">
      <c r="A818" s="11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  <c r="AW818" s="12"/>
      <c r="AX818" s="12"/>
      <c r="AY818" s="12"/>
      <c r="AZ818" s="12"/>
      <c r="BA818" s="12"/>
      <c r="BB818" s="12"/>
      <c r="BC818" s="12"/>
      <c r="BD818" s="12"/>
    </row>
    <row r="819" spans="1:56" ht="12.75">
      <c r="A819" s="11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12"/>
      <c r="AT819" s="12"/>
      <c r="AU819" s="12"/>
      <c r="AV819" s="12"/>
      <c r="AW819" s="12"/>
      <c r="AX819" s="12"/>
      <c r="AY819" s="12"/>
      <c r="AZ819" s="12"/>
      <c r="BA819" s="12"/>
      <c r="BB819" s="12"/>
      <c r="BC819" s="12"/>
      <c r="BD819" s="12"/>
    </row>
    <row r="820" spans="1:56" ht="12.75">
      <c r="A820" s="11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  <c r="AW820" s="12"/>
      <c r="AX820" s="12"/>
      <c r="AY820" s="12"/>
      <c r="AZ820" s="12"/>
      <c r="BA820" s="12"/>
      <c r="BB820" s="12"/>
      <c r="BC820" s="12"/>
      <c r="BD820" s="12"/>
    </row>
    <row r="821" spans="1:56" ht="12.75">
      <c r="A821" s="11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  <c r="AW821" s="12"/>
      <c r="AX821" s="12"/>
      <c r="AY821" s="12"/>
      <c r="AZ821" s="12"/>
      <c r="BA821" s="12"/>
      <c r="BB821" s="12"/>
      <c r="BC821" s="12"/>
      <c r="BD821" s="12"/>
    </row>
    <row r="822" spans="1:56" ht="12.75">
      <c r="A822" s="11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12"/>
      <c r="AX822" s="12"/>
      <c r="AY822" s="12"/>
      <c r="AZ822" s="12"/>
      <c r="BA822" s="12"/>
      <c r="BB822" s="12"/>
      <c r="BC822" s="12"/>
      <c r="BD822" s="12"/>
    </row>
    <row r="823" spans="1:56" ht="12.75">
      <c r="A823" s="11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12"/>
      <c r="AX823" s="12"/>
      <c r="AY823" s="12"/>
      <c r="AZ823" s="12"/>
      <c r="BA823" s="12"/>
      <c r="BB823" s="12"/>
      <c r="BC823" s="12"/>
      <c r="BD823" s="12"/>
    </row>
    <row r="824" spans="1:56" ht="12.75">
      <c r="A824" s="11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  <c r="AX824" s="12"/>
      <c r="AY824" s="12"/>
      <c r="AZ824" s="12"/>
      <c r="BA824" s="12"/>
      <c r="BB824" s="12"/>
      <c r="BC824" s="12"/>
      <c r="BD824" s="12"/>
    </row>
    <row r="825" spans="1:56" ht="12.75">
      <c r="A825" s="11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  <c r="AX825" s="12"/>
      <c r="AY825" s="12"/>
      <c r="AZ825" s="12"/>
      <c r="BA825" s="12"/>
      <c r="BB825" s="12"/>
      <c r="BC825" s="12"/>
      <c r="BD825" s="12"/>
    </row>
    <row r="826" spans="1:56" ht="12.75">
      <c r="A826" s="11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  <c r="AX826" s="12"/>
      <c r="AY826" s="12"/>
      <c r="AZ826" s="12"/>
      <c r="BA826" s="12"/>
      <c r="BB826" s="12"/>
      <c r="BC826" s="12"/>
      <c r="BD826" s="12"/>
    </row>
    <row r="827" spans="1:56" ht="12.75">
      <c r="A827" s="11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  <c r="AX827" s="12"/>
      <c r="AY827" s="12"/>
      <c r="AZ827" s="12"/>
      <c r="BA827" s="12"/>
      <c r="BB827" s="12"/>
      <c r="BC827" s="12"/>
      <c r="BD827" s="12"/>
    </row>
    <row r="828" spans="1:56" ht="12.75">
      <c r="A828" s="11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  <c r="AX828" s="12"/>
      <c r="AY828" s="12"/>
      <c r="AZ828" s="12"/>
      <c r="BA828" s="12"/>
      <c r="BB828" s="12"/>
      <c r="BC828" s="12"/>
      <c r="BD828" s="12"/>
    </row>
    <row r="829" spans="1:56" ht="12.75">
      <c r="A829" s="11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  <c r="AX829" s="12"/>
      <c r="AY829" s="12"/>
      <c r="AZ829" s="12"/>
      <c r="BA829" s="12"/>
      <c r="BB829" s="12"/>
      <c r="BC829" s="12"/>
      <c r="BD829" s="12"/>
    </row>
    <row r="830" spans="1:56" ht="12.75">
      <c r="A830" s="11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  <c r="AX830" s="12"/>
      <c r="AY830" s="12"/>
      <c r="AZ830" s="12"/>
      <c r="BA830" s="12"/>
      <c r="BB830" s="12"/>
      <c r="BC830" s="12"/>
      <c r="BD830" s="12"/>
    </row>
    <row r="831" spans="1:56" ht="12.75">
      <c r="A831" s="11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  <c r="AX831" s="12"/>
      <c r="AY831" s="12"/>
      <c r="AZ831" s="12"/>
      <c r="BA831" s="12"/>
      <c r="BB831" s="12"/>
      <c r="BC831" s="12"/>
      <c r="BD831" s="12"/>
    </row>
    <row r="832" spans="1:56" ht="12.75">
      <c r="A832" s="11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  <c r="AX832" s="12"/>
      <c r="AY832" s="12"/>
      <c r="AZ832" s="12"/>
      <c r="BA832" s="12"/>
      <c r="BB832" s="12"/>
      <c r="BC832" s="12"/>
      <c r="BD832" s="12"/>
    </row>
    <row r="833" spans="1:56" ht="12.75">
      <c r="A833" s="11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  <c r="AX833" s="12"/>
      <c r="AY833" s="12"/>
      <c r="AZ833" s="12"/>
      <c r="BA833" s="12"/>
      <c r="BB833" s="12"/>
      <c r="BC833" s="12"/>
      <c r="BD833" s="12"/>
    </row>
    <row r="834" spans="1:56" ht="12.75">
      <c r="A834" s="11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  <c r="AX834" s="12"/>
      <c r="AY834" s="12"/>
      <c r="AZ834" s="12"/>
      <c r="BA834" s="12"/>
      <c r="BB834" s="12"/>
      <c r="BC834" s="12"/>
      <c r="BD834" s="12"/>
    </row>
    <row r="835" spans="1:56" ht="12.75">
      <c r="A835" s="11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  <c r="AX835" s="12"/>
      <c r="AY835" s="12"/>
      <c r="AZ835" s="12"/>
      <c r="BA835" s="12"/>
      <c r="BB835" s="12"/>
      <c r="BC835" s="12"/>
      <c r="BD835" s="12"/>
    </row>
    <row r="836" spans="1:56" ht="12.75">
      <c r="A836" s="11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  <c r="AX836" s="12"/>
      <c r="AY836" s="12"/>
      <c r="AZ836" s="12"/>
      <c r="BA836" s="12"/>
      <c r="BB836" s="12"/>
      <c r="BC836" s="12"/>
      <c r="BD836" s="12"/>
    </row>
    <row r="837" spans="1:56" ht="12.75">
      <c r="A837" s="11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  <c r="AX837" s="12"/>
      <c r="AY837" s="12"/>
      <c r="AZ837" s="12"/>
      <c r="BA837" s="12"/>
      <c r="BB837" s="12"/>
      <c r="BC837" s="12"/>
      <c r="BD837" s="12"/>
    </row>
    <row r="838" spans="1:56" ht="12.75">
      <c r="A838" s="11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  <c r="AX838" s="12"/>
      <c r="AY838" s="12"/>
      <c r="AZ838" s="12"/>
      <c r="BA838" s="12"/>
      <c r="BB838" s="12"/>
      <c r="BC838" s="12"/>
      <c r="BD838" s="12"/>
    </row>
    <row r="839" spans="1:56" ht="12.75">
      <c r="A839" s="11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  <c r="AX839" s="12"/>
      <c r="AY839" s="12"/>
      <c r="AZ839" s="12"/>
      <c r="BA839" s="12"/>
      <c r="BB839" s="12"/>
      <c r="BC839" s="12"/>
      <c r="BD839" s="12"/>
    </row>
    <row r="840" spans="1:56" ht="12.75">
      <c r="A840" s="11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  <c r="AX840" s="12"/>
      <c r="AY840" s="12"/>
      <c r="AZ840" s="12"/>
      <c r="BA840" s="12"/>
      <c r="BB840" s="12"/>
      <c r="BC840" s="12"/>
      <c r="BD840" s="12"/>
    </row>
    <row r="841" spans="1:56" ht="12.75">
      <c r="A841" s="11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  <c r="AX841" s="12"/>
      <c r="AY841" s="12"/>
      <c r="AZ841" s="12"/>
      <c r="BA841" s="12"/>
      <c r="BB841" s="12"/>
      <c r="BC841" s="12"/>
      <c r="BD841" s="12"/>
    </row>
    <row r="842" spans="1:56" ht="12.75">
      <c r="A842" s="11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  <c r="AX842" s="12"/>
      <c r="AY842" s="12"/>
      <c r="AZ842" s="12"/>
      <c r="BA842" s="12"/>
      <c r="BB842" s="12"/>
      <c r="BC842" s="12"/>
      <c r="BD842" s="12"/>
    </row>
    <row r="843" spans="1:56" ht="12.75">
      <c r="A843" s="11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  <c r="AX843" s="12"/>
      <c r="AY843" s="12"/>
      <c r="AZ843" s="12"/>
      <c r="BA843" s="12"/>
      <c r="BB843" s="12"/>
      <c r="BC843" s="12"/>
      <c r="BD843" s="12"/>
    </row>
    <row r="844" spans="1:56" ht="12.75">
      <c r="A844" s="11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  <c r="AX844" s="12"/>
      <c r="AY844" s="12"/>
      <c r="AZ844" s="12"/>
      <c r="BA844" s="12"/>
      <c r="BB844" s="12"/>
      <c r="BC844" s="12"/>
      <c r="BD844" s="12"/>
    </row>
    <row r="845" spans="1:56" ht="12.75">
      <c r="A845" s="11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  <c r="AX845" s="12"/>
      <c r="AY845" s="12"/>
      <c r="AZ845" s="12"/>
      <c r="BA845" s="12"/>
      <c r="BB845" s="12"/>
      <c r="BC845" s="12"/>
      <c r="BD845" s="12"/>
    </row>
    <row r="846" spans="1:56" ht="12.75">
      <c r="A846" s="11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  <c r="AX846" s="12"/>
      <c r="AY846" s="12"/>
      <c r="AZ846" s="12"/>
      <c r="BA846" s="12"/>
      <c r="BB846" s="12"/>
      <c r="BC846" s="12"/>
      <c r="BD846" s="12"/>
    </row>
    <row r="847" spans="1:56" ht="12.75">
      <c r="A847" s="11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  <c r="AX847" s="12"/>
      <c r="AY847" s="12"/>
      <c r="AZ847" s="12"/>
      <c r="BA847" s="12"/>
      <c r="BB847" s="12"/>
      <c r="BC847" s="12"/>
      <c r="BD847" s="12"/>
    </row>
    <row r="848" spans="1:56" ht="12.75">
      <c r="A848" s="11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  <c r="AX848" s="12"/>
      <c r="AY848" s="12"/>
      <c r="AZ848" s="12"/>
      <c r="BA848" s="12"/>
      <c r="BB848" s="12"/>
      <c r="BC848" s="12"/>
      <c r="BD848" s="12"/>
    </row>
    <row r="849" spans="1:56" ht="12.75">
      <c r="A849" s="11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  <c r="AX849" s="12"/>
      <c r="AY849" s="12"/>
      <c r="AZ849" s="12"/>
      <c r="BA849" s="12"/>
      <c r="BB849" s="12"/>
      <c r="BC849" s="12"/>
      <c r="BD849" s="12"/>
    </row>
    <row r="850" spans="1:56" ht="12.75">
      <c r="A850" s="11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  <c r="AX850" s="12"/>
      <c r="AY850" s="12"/>
      <c r="AZ850" s="12"/>
      <c r="BA850" s="12"/>
      <c r="BB850" s="12"/>
      <c r="BC850" s="12"/>
      <c r="BD850" s="12"/>
    </row>
    <row r="851" spans="1:56" ht="12.75">
      <c r="A851" s="11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  <c r="AX851" s="12"/>
      <c r="AY851" s="12"/>
      <c r="AZ851" s="12"/>
      <c r="BA851" s="12"/>
      <c r="BB851" s="12"/>
      <c r="BC851" s="12"/>
      <c r="BD851" s="12"/>
    </row>
    <row r="852" spans="1:56" ht="12.75">
      <c r="A852" s="11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  <c r="AX852" s="12"/>
      <c r="AY852" s="12"/>
      <c r="AZ852" s="12"/>
      <c r="BA852" s="12"/>
      <c r="BB852" s="12"/>
      <c r="BC852" s="12"/>
      <c r="BD852" s="12"/>
    </row>
    <row r="853" spans="1:56" ht="12.75">
      <c r="A853" s="11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  <c r="AX853" s="12"/>
      <c r="AY853" s="12"/>
      <c r="AZ853" s="12"/>
      <c r="BA853" s="12"/>
      <c r="BB853" s="12"/>
      <c r="BC853" s="12"/>
      <c r="BD853" s="12"/>
    </row>
    <row r="854" spans="1:56" ht="12.75">
      <c r="A854" s="11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  <c r="AX854" s="12"/>
      <c r="AY854" s="12"/>
      <c r="AZ854" s="12"/>
      <c r="BA854" s="12"/>
      <c r="BB854" s="12"/>
      <c r="BC854" s="12"/>
      <c r="BD854" s="12"/>
    </row>
    <row r="855" spans="1:56" ht="12.75">
      <c r="A855" s="11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  <c r="AX855" s="12"/>
      <c r="AY855" s="12"/>
      <c r="AZ855" s="12"/>
      <c r="BA855" s="12"/>
      <c r="BB855" s="12"/>
      <c r="BC855" s="12"/>
      <c r="BD855" s="12"/>
    </row>
    <row r="856" spans="1:56" ht="12.75">
      <c r="A856" s="11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  <c r="AW856" s="12"/>
      <c r="AX856" s="12"/>
      <c r="AY856" s="12"/>
      <c r="AZ856" s="12"/>
      <c r="BA856" s="12"/>
      <c r="BB856" s="12"/>
      <c r="BC856" s="12"/>
      <c r="BD856" s="12"/>
    </row>
    <row r="857" spans="1:56" ht="12.75">
      <c r="A857" s="11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  <c r="AS857" s="12"/>
      <c r="AT857" s="12"/>
      <c r="AU857" s="12"/>
      <c r="AV857" s="12"/>
      <c r="AW857" s="12"/>
      <c r="AX857" s="12"/>
      <c r="AY857" s="12"/>
      <c r="AZ857" s="12"/>
      <c r="BA857" s="12"/>
      <c r="BB857" s="12"/>
      <c r="BC857" s="12"/>
      <c r="BD857" s="12"/>
    </row>
    <row r="858" spans="1:56" ht="12.75">
      <c r="A858" s="11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  <c r="AS858" s="12"/>
      <c r="AT858" s="12"/>
      <c r="AU858" s="12"/>
      <c r="AV858" s="12"/>
      <c r="AW858" s="12"/>
      <c r="AX858" s="12"/>
      <c r="AY858" s="12"/>
      <c r="AZ858" s="12"/>
      <c r="BA858" s="12"/>
      <c r="BB858" s="12"/>
      <c r="BC858" s="12"/>
      <c r="BD858" s="12"/>
    </row>
    <row r="859" spans="1:56" ht="12.75">
      <c r="A859" s="11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  <c r="AS859" s="12"/>
      <c r="AT859" s="12"/>
      <c r="AU859" s="12"/>
      <c r="AV859" s="12"/>
      <c r="AW859" s="12"/>
      <c r="AX859" s="12"/>
      <c r="AY859" s="12"/>
      <c r="AZ859" s="12"/>
      <c r="BA859" s="12"/>
      <c r="BB859" s="12"/>
      <c r="BC859" s="12"/>
      <c r="BD859" s="12"/>
    </row>
    <row r="860" spans="1:56" ht="12.75">
      <c r="A860" s="11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  <c r="AW860" s="12"/>
      <c r="AX860" s="12"/>
      <c r="AY860" s="12"/>
      <c r="AZ860" s="12"/>
      <c r="BA860" s="12"/>
      <c r="BB860" s="12"/>
      <c r="BC860" s="12"/>
      <c r="BD860" s="12"/>
    </row>
    <row r="861" spans="1:56" ht="12.75">
      <c r="A861" s="11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  <c r="AS861" s="12"/>
      <c r="AT861" s="12"/>
      <c r="AU861" s="12"/>
      <c r="AV861" s="12"/>
      <c r="AW861" s="12"/>
      <c r="AX861" s="12"/>
      <c r="AY861" s="12"/>
      <c r="AZ861" s="12"/>
      <c r="BA861" s="12"/>
      <c r="BB861" s="12"/>
      <c r="BC861" s="12"/>
      <c r="BD861" s="12"/>
    </row>
    <row r="862" spans="1:56" ht="12.75">
      <c r="A862" s="11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  <c r="AU862" s="12"/>
      <c r="AV862" s="12"/>
      <c r="AW862" s="12"/>
      <c r="AX862" s="12"/>
      <c r="AY862" s="12"/>
      <c r="AZ862" s="12"/>
      <c r="BA862" s="12"/>
      <c r="BB862" s="12"/>
      <c r="BC862" s="12"/>
      <c r="BD862" s="12"/>
    </row>
    <row r="863" spans="1:56" ht="12.75">
      <c r="A863" s="11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  <c r="AS863" s="12"/>
      <c r="AT863" s="12"/>
      <c r="AU863" s="12"/>
      <c r="AV863" s="12"/>
      <c r="AW863" s="12"/>
      <c r="AX863" s="12"/>
      <c r="AY863" s="12"/>
      <c r="AZ863" s="12"/>
      <c r="BA863" s="12"/>
      <c r="BB863" s="12"/>
      <c r="BC863" s="12"/>
      <c r="BD863" s="12"/>
    </row>
    <row r="864" spans="1:56" ht="12.75">
      <c r="A864" s="11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  <c r="AW864" s="12"/>
      <c r="AX864" s="12"/>
      <c r="AY864" s="12"/>
      <c r="AZ864" s="12"/>
      <c r="BA864" s="12"/>
      <c r="BB864" s="12"/>
      <c r="BC864" s="12"/>
      <c r="BD864" s="12"/>
    </row>
    <row r="865" spans="1:56" ht="12.75">
      <c r="A865" s="11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  <c r="AS865" s="12"/>
      <c r="AT865" s="12"/>
      <c r="AU865" s="12"/>
      <c r="AV865" s="12"/>
      <c r="AW865" s="12"/>
      <c r="AX865" s="12"/>
      <c r="AY865" s="12"/>
      <c r="AZ865" s="12"/>
      <c r="BA865" s="12"/>
      <c r="BB865" s="12"/>
      <c r="BC865" s="12"/>
      <c r="BD865" s="12"/>
    </row>
    <row r="866" spans="1:56" ht="12.75">
      <c r="A866" s="11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  <c r="AS866" s="12"/>
      <c r="AT866" s="12"/>
      <c r="AU866" s="12"/>
      <c r="AV866" s="12"/>
      <c r="AW866" s="12"/>
      <c r="AX866" s="12"/>
      <c r="AY866" s="12"/>
      <c r="AZ866" s="12"/>
      <c r="BA866" s="12"/>
      <c r="BB866" s="12"/>
      <c r="BC866" s="12"/>
      <c r="BD866" s="12"/>
    </row>
    <row r="867" spans="1:56" ht="12.75">
      <c r="A867" s="11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  <c r="AT867" s="12"/>
      <c r="AU867" s="12"/>
      <c r="AV867" s="12"/>
      <c r="AW867" s="12"/>
      <c r="AX867" s="12"/>
      <c r="AY867" s="12"/>
      <c r="AZ867" s="12"/>
      <c r="BA867" s="12"/>
      <c r="BB867" s="12"/>
      <c r="BC867" s="12"/>
      <c r="BD867" s="12"/>
    </row>
    <row r="868" spans="1:56" ht="12.75">
      <c r="A868" s="11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  <c r="AW868" s="12"/>
      <c r="AX868" s="12"/>
      <c r="AY868" s="12"/>
      <c r="AZ868" s="12"/>
      <c r="BA868" s="12"/>
      <c r="BB868" s="12"/>
      <c r="BC868" s="12"/>
      <c r="BD868" s="12"/>
    </row>
    <row r="869" spans="1:56" ht="12.75">
      <c r="A869" s="11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  <c r="AS869" s="12"/>
      <c r="AT869" s="12"/>
      <c r="AU869" s="12"/>
      <c r="AV869" s="12"/>
      <c r="AW869" s="12"/>
      <c r="AX869" s="12"/>
      <c r="AY869" s="12"/>
      <c r="AZ869" s="12"/>
      <c r="BA869" s="12"/>
      <c r="BB869" s="12"/>
      <c r="BC869" s="12"/>
      <c r="BD869" s="12"/>
    </row>
    <row r="870" spans="1:56" ht="12.75">
      <c r="A870" s="11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  <c r="AS870" s="12"/>
      <c r="AT870" s="12"/>
      <c r="AU870" s="12"/>
      <c r="AV870" s="12"/>
      <c r="AW870" s="12"/>
      <c r="AX870" s="12"/>
      <c r="AY870" s="12"/>
      <c r="AZ870" s="12"/>
      <c r="BA870" s="12"/>
      <c r="BB870" s="12"/>
      <c r="BC870" s="12"/>
      <c r="BD870" s="12"/>
    </row>
    <row r="871" spans="1:56" ht="12.75">
      <c r="A871" s="11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  <c r="AS871" s="12"/>
      <c r="AT871" s="12"/>
      <c r="AU871" s="12"/>
      <c r="AV871" s="12"/>
      <c r="AW871" s="12"/>
      <c r="AX871" s="12"/>
      <c r="AY871" s="12"/>
      <c r="AZ871" s="12"/>
      <c r="BA871" s="12"/>
      <c r="BB871" s="12"/>
      <c r="BC871" s="12"/>
      <c r="BD871" s="12"/>
    </row>
    <row r="872" spans="1:56" ht="12.75">
      <c r="A872" s="11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  <c r="AW872" s="12"/>
      <c r="AX872" s="12"/>
      <c r="AY872" s="12"/>
      <c r="AZ872" s="12"/>
      <c r="BA872" s="12"/>
      <c r="BB872" s="12"/>
      <c r="BC872" s="12"/>
      <c r="BD872" s="12"/>
    </row>
    <row r="873" spans="1:56" ht="12.75">
      <c r="A873" s="11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  <c r="AS873" s="12"/>
      <c r="AT873" s="12"/>
      <c r="AU873" s="12"/>
      <c r="AV873" s="12"/>
      <c r="AW873" s="12"/>
      <c r="AX873" s="12"/>
      <c r="AY873" s="12"/>
      <c r="AZ873" s="12"/>
      <c r="BA873" s="12"/>
      <c r="BB873" s="12"/>
      <c r="BC873" s="12"/>
      <c r="BD873" s="12"/>
    </row>
    <row r="874" spans="1:56" ht="12.75">
      <c r="A874" s="11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  <c r="AW874" s="12"/>
      <c r="AX874" s="12"/>
      <c r="AY874" s="12"/>
      <c r="AZ874" s="12"/>
      <c r="BA874" s="12"/>
      <c r="BB874" s="12"/>
      <c r="BC874" s="12"/>
      <c r="BD874" s="12"/>
    </row>
    <row r="875" spans="1:56" ht="12.75">
      <c r="A875" s="11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  <c r="AS875" s="12"/>
      <c r="AT875" s="12"/>
      <c r="AU875" s="12"/>
      <c r="AV875" s="12"/>
      <c r="AW875" s="12"/>
      <c r="AX875" s="12"/>
      <c r="AY875" s="12"/>
      <c r="AZ875" s="12"/>
      <c r="BA875" s="12"/>
      <c r="BB875" s="12"/>
      <c r="BC875" s="12"/>
      <c r="BD875" s="12"/>
    </row>
    <row r="876" spans="1:56" ht="12.75">
      <c r="A876" s="11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  <c r="AS876" s="12"/>
      <c r="AT876" s="12"/>
      <c r="AU876" s="12"/>
      <c r="AV876" s="12"/>
      <c r="AW876" s="12"/>
      <c r="AX876" s="12"/>
      <c r="AY876" s="12"/>
      <c r="AZ876" s="12"/>
      <c r="BA876" s="12"/>
      <c r="BB876" s="12"/>
      <c r="BC876" s="12"/>
      <c r="BD876" s="12"/>
    </row>
    <row r="877" spans="1:56" ht="12.75">
      <c r="A877" s="11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  <c r="AS877" s="12"/>
      <c r="AT877" s="12"/>
      <c r="AU877" s="12"/>
      <c r="AV877" s="12"/>
      <c r="AW877" s="12"/>
      <c r="AX877" s="12"/>
      <c r="AY877" s="12"/>
      <c r="AZ877" s="12"/>
      <c r="BA877" s="12"/>
      <c r="BB877" s="12"/>
      <c r="BC877" s="12"/>
      <c r="BD877" s="12"/>
    </row>
    <row r="878" spans="1:56" ht="12.75">
      <c r="A878" s="11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  <c r="AT878" s="12"/>
      <c r="AU878" s="12"/>
      <c r="AV878" s="12"/>
      <c r="AW878" s="12"/>
      <c r="AX878" s="12"/>
      <c r="AY878" s="12"/>
      <c r="AZ878" s="12"/>
      <c r="BA878" s="12"/>
      <c r="BB878" s="12"/>
      <c r="BC878" s="12"/>
      <c r="BD878" s="12"/>
    </row>
    <row r="879" spans="1:56" ht="12.75">
      <c r="A879" s="11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  <c r="AS879" s="12"/>
      <c r="AT879" s="12"/>
      <c r="AU879" s="12"/>
      <c r="AV879" s="12"/>
      <c r="AW879" s="12"/>
      <c r="AX879" s="12"/>
      <c r="AY879" s="12"/>
      <c r="AZ879" s="12"/>
      <c r="BA879" s="12"/>
      <c r="BB879" s="12"/>
      <c r="BC879" s="12"/>
      <c r="BD879" s="12"/>
    </row>
    <row r="880" spans="1:56" ht="12.75">
      <c r="A880" s="11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  <c r="AW880" s="12"/>
      <c r="AX880" s="12"/>
      <c r="AY880" s="12"/>
      <c r="AZ880" s="12"/>
      <c r="BA880" s="12"/>
      <c r="BB880" s="12"/>
      <c r="BC880" s="12"/>
      <c r="BD880" s="12"/>
    </row>
    <row r="881" spans="1:56" ht="12.75">
      <c r="A881" s="11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  <c r="AW881" s="12"/>
      <c r="AX881" s="12"/>
      <c r="AY881" s="12"/>
      <c r="AZ881" s="12"/>
      <c r="BA881" s="12"/>
      <c r="BB881" s="12"/>
      <c r="BC881" s="12"/>
      <c r="BD881" s="12"/>
    </row>
    <row r="882" spans="1:56" ht="12.75">
      <c r="A882" s="11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  <c r="AW882" s="12"/>
      <c r="AX882" s="12"/>
      <c r="AY882" s="12"/>
      <c r="AZ882" s="12"/>
      <c r="BA882" s="12"/>
      <c r="BB882" s="12"/>
      <c r="BC882" s="12"/>
      <c r="BD882" s="12"/>
    </row>
    <row r="883" spans="1:56" ht="12.75">
      <c r="A883" s="11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  <c r="AS883" s="12"/>
      <c r="AT883" s="12"/>
      <c r="AU883" s="12"/>
      <c r="AV883" s="12"/>
      <c r="AW883" s="12"/>
      <c r="AX883" s="12"/>
      <c r="AY883" s="12"/>
      <c r="AZ883" s="12"/>
      <c r="BA883" s="12"/>
      <c r="BB883" s="12"/>
      <c r="BC883" s="12"/>
      <c r="BD883" s="12"/>
    </row>
    <row r="884" spans="1:56" ht="12.75">
      <c r="A884" s="11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  <c r="AW884" s="12"/>
      <c r="AX884" s="12"/>
      <c r="AY884" s="12"/>
      <c r="AZ884" s="12"/>
      <c r="BA884" s="12"/>
      <c r="BB884" s="12"/>
      <c r="BC884" s="12"/>
      <c r="BD884" s="12"/>
    </row>
    <row r="885" spans="1:56" ht="12.75">
      <c r="A885" s="11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  <c r="AS885" s="12"/>
      <c r="AT885" s="12"/>
      <c r="AU885" s="12"/>
      <c r="AV885" s="12"/>
      <c r="AW885" s="12"/>
      <c r="AX885" s="12"/>
      <c r="AY885" s="12"/>
      <c r="AZ885" s="12"/>
      <c r="BA885" s="12"/>
      <c r="BB885" s="12"/>
      <c r="BC885" s="12"/>
      <c r="BD885" s="12"/>
    </row>
    <row r="886" spans="1:56" ht="12.75">
      <c r="A886" s="11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  <c r="AW886" s="12"/>
      <c r="AX886" s="12"/>
      <c r="AY886" s="12"/>
      <c r="AZ886" s="12"/>
      <c r="BA886" s="12"/>
      <c r="BB886" s="12"/>
      <c r="BC886" s="12"/>
      <c r="BD886" s="12"/>
    </row>
    <row r="887" spans="1:56" ht="12.75">
      <c r="A887" s="11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  <c r="AS887" s="12"/>
      <c r="AT887" s="12"/>
      <c r="AU887" s="12"/>
      <c r="AV887" s="12"/>
      <c r="AW887" s="12"/>
      <c r="AX887" s="12"/>
      <c r="AY887" s="12"/>
      <c r="AZ887" s="12"/>
      <c r="BA887" s="12"/>
      <c r="BB887" s="12"/>
      <c r="BC887" s="12"/>
      <c r="BD887" s="12"/>
    </row>
    <row r="888" spans="1:56" ht="12.75">
      <c r="A888" s="11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  <c r="AT888" s="12"/>
      <c r="AU888" s="12"/>
      <c r="AV888" s="12"/>
      <c r="AW888" s="12"/>
      <c r="AX888" s="12"/>
      <c r="AY888" s="12"/>
      <c r="AZ888" s="12"/>
      <c r="BA888" s="12"/>
      <c r="BB888" s="12"/>
      <c r="BC888" s="12"/>
      <c r="BD888" s="12"/>
    </row>
    <row r="889" spans="1:56" ht="12.75">
      <c r="A889" s="11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  <c r="AT889" s="12"/>
      <c r="AU889" s="12"/>
      <c r="AV889" s="12"/>
      <c r="AW889" s="12"/>
      <c r="AX889" s="12"/>
      <c r="AY889" s="12"/>
      <c r="AZ889" s="12"/>
      <c r="BA889" s="12"/>
      <c r="BB889" s="12"/>
      <c r="BC889" s="12"/>
      <c r="BD889" s="12"/>
    </row>
    <row r="890" spans="1:56" ht="12.75">
      <c r="A890" s="11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  <c r="AW890" s="12"/>
      <c r="AX890" s="12"/>
      <c r="AY890" s="12"/>
      <c r="AZ890" s="12"/>
      <c r="BA890" s="12"/>
      <c r="BB890" s="12"/>
      <c r="BC890" s="12"/>
      <c r="BD890" s="12"/>
    </row>
    <row r="891" spans="1:56" ht="12.75">
      <c r="A891" s="11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  <c r="AS891" s="12"/>
      <c r="AT891" s="12"/>
      <c r="AU891" s="12"/>
      <c r="AV891" s="12"/>
      <c r="AW891" s="12"/>
      <c r="AX891" s="12"/>
      <c r="AY891" s="12"/>
      <c r="AZ891" s="12"/>
      <c r="BA891" s="12"/>
      <c r="BB891" s="12"/>
      <c r="BC891" s="12"/>
      <c r="BD891" s="12"/>
    </row>
    <row r="892" spans="1:56" ht="12.75">
      <c r="A892" s="11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  <c r="AW892" s="12"/>
      <c r="AX892" s="12"/>
      <c r="AY892" s="12"/>
      <c r="AZ892" s="12"/>
      <c r="BA892" s="12"/>
      <c r="BB892" s="12"/>
      <c r="BC892" s="12"/>
      <c r="BD892" s="12"/>
    </row>
    <row r="893" spans="1:56" ht="12.75">
      <c r="A893" s="11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  <c r="AT893" s="12"/>
      <c r="AU893" s="12"/>
      <c r="AV893" s="12"/>
      <c r="AW893" s="12"/>
      <c r="AX893" s="12"/>
      <c r="AY893" s="12"/>
      <c r="AZ893" s="12"/>
      <c r="BA893" s="12"/>
      <c r="BB893" s="12"/>
      <c r="BC893" s="12"/>
      <c r="BD893" s="12"/>
    </row>
    <row r="894" spans="1:56" ht="12.75">
      <c r="A894" s="11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  <c r="AW894" s="12"/>
      <c r="AX894" s="12"/>
      <c r="AY894" s="12"/>
      <c r="AZ894" s="12"/>
      <c r="BA894" s="12"/>
      <c r="BB894" s="12"/>
      <c r="BC894" s="12"/>
      <c r="BD894" s="12"/>
    </row>
    <row r="895" spans="1:56" ht="12.75">
      <c r="A895" s="11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  <c r="AX895" s="12"/>
      <c r="AY895" s="12"/>
      <c r="AZ895" s="12"/>
      <c r="BA895" s="12"/>
      <c r="BB895" s="12"/>
      <c r="BC895" s="12"/>
      <c r="BD895" s="12"/>
    </row>
    <row r="896" spans="1:56" ht="12.75">
      <c r="A896" s="11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  <c r="AX896" s="12"/>
      <c r="AY896" s="12"/>
      <c r="AZ896" s="12"/>
      <c r="BA896" s="12"/>
      <c r="BB896" s="12"/>
      <c r="BC896" s="12"/>
      <c r="BD896" s="12"/>
    </row>
    <row r="897" spans="1:56" ht="12.75">
      <c r="A897" s="11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  <c r="AX897" s="12"/>
      <c r="AY897" s="12"/>
      <c r="AZ897" s="12"/>
      <c r="BA897" s="12"/>
      <c r="BB897" s="12"/>
      <c r="BC897" s="12"/>
      <c r="BD897" s="12"/>
    </row>
    <row r="898" spans="1:56" ht="12.75">
      <c r="A898" s="11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  <c r="AX898" s="12"/>
      <c r="AY898" s="12"/>
      <c r="AZ898" s="12"/>
      <c r="BA898" s="12"/>
      <c r="BB898" s="12"/>
      <c r="BC898" s="12"/>
      <c r="BD898" s="12"/>
    </row>
    <row r="899" spans="1:56" ht="12.75">
      <c r="A899" s="11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  <c r="AX899" s="12"/>
      <c r="AY899" s="12"/>
      <c r="AZ899" s="12"/>
      <c r="BA899" s="12"/>
      <c r="BB899" s="12"/>
      <c r="BC899" s="12"/>
      <c r="BD899" s="12"/>
    </row>
    <row r="900" spans="1:56" ht="12.75">
      <c r="A900" s="11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  <c r="AX900" s="12"/>
      <c r="AY900" s="12"/>
      <c r="AZ900" s="12"/>
      <c r="BA900" s="12"/>
      <c r="BB900" s="12"/>
      <c r="BC900" s="12"/>
      <c r="BD900" s="12"/>
    </row>
    <row r="901" spans="1:56" ht="12.75">
      <c r="A901" s="11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  <c r="AX901" s="12"/>
      <c r="AY901" s="12"/>
      <c r="AZ901" s="12"/>
      <c r="BA901" s="12"/>
      <c r="BB901" s="12"/>
      <c r="BC901" s="12"/>
      <c r="BD901" s="12"/>
    </row>
    <row r="902" spans="1:56" ht="12.75">
      <c r="A902" s="11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  <c r="AX902" s="12"/>
      <c r="AY902" s="12"/>
      <c r="AZ902" s="12"/>
      <c r="BA902" s="12"/>
      <c r="BB902" s="12"/>
      <c r="BC902" s="12"/>
      <c r="BD902" s="12"/>
    </row>
    <row r="903" spans="1:56" ht="12.75">
      <c r="A903" s="11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  <c r="AX903" s="12"/>
      <c r="AY903" s="12"/>
      <c r="AZ903" s="12"/>
      <c r="BA903" s="12"/>
      <c r="BB903" s="12"/>
      <c r="BC903" s="12"/>
      <c r="BD903" s="12"/>
    </row>
    <row r="904" spans="1:56" ht="12.75">
      <c r="A904" s="11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  <c r="AW904" s="12"/>
      <c r="AX904" s="12"/>
      <c r="AY904" s="12"/>
      <c r="AZ904" s="12"/>
      <c r="BA904" s="12"/>
      <c r="BB904" s="12"/>
      <c r="BC904" s="12"/>
      <c r="BD904" s="12"/>
    </row>
    <row r="905" spans="1:56" ht="12.75">
      <c r="A905" s="11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  <c r="AX905" s="12"/>
      <c r="AY905" s="12"/>
      <c r="AZ905" s="12"/>
      <c r="BA905" s="12"/>
      <c r="BB905" s="12"/>
      <c r="BC905" s="12"/>
      <c r="BD905" s="12"/>
    </row>
    <row r="906" spans="1:56" ht="12.75">
      <c r="A906" s="11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  <c r="AX906" s="12"/>
      <c r="AY906" s="12"/>
      <c r="AZ906" s="12"/>
      <c r="BA906" s="12"/>
      <c r="BB906" s="12"/>
      <c r="BC906" s="12"/>
      <c r="BD906" s="12"/>
    </row>
    <row r="907" spans="1:56" ht="12.75">
      <c r="A907" s="11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  <c r="AX907" s="12"/>
      <c r="AY907" s="12"/>
      <c r="AZ907" s="12"/>
      <c r="BA907" s="12"/>
      <c r="BB907" s="12"/>
      <c r="BC907" s="12"/>
      <c r="BD907" s="12"/>
    </row>
    <row r="908" spans="1:56" ht="12.75">
      <c r="A908" s="11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  <c r="AX908" s="12"/>
      <c r="AY908" s="12"/>
      <c r="AZ908" s="12"/>
      <c r="BA908" s="12"/>
      <c r="BB908" s="12"/>
      <c r="BC908" s="12"/>
      <c r="BD908" s="12"/>
    </row>
    <row r="909" spans="1:56" ht="12.75">
      <c r="A909" s="11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  <c r="AX909" s="12"/>
      <c r="AY909" s="12"/>
      <c r="AZ909" s="12"/>
      <c r="BA909" s="12"/>
      <c r="BB909" s="12"/>
      <c r="BC909" s="12"/>
      <c r="BD909" s="12"/>
    </row>
    <row r="910" spans="1:56" ht="12.75">
      <c r="A910" s="11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  <c r="AX910" s="12"/>
      <c r="AY910" s="12"/>
      <c r="AZ910" s="12"/>
      <c r="BA910" s="12"/>
      <c r="BB910" s="12"/>
      <c r="BC910" s="12"/>
      <c r="BD910" s="12"/>
    </row>
    <row r="911" spans="1:56" ht="12.75">
      <c r="A911" s="11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  <c r="AX911" s="12"/>
      <c r="AY911" s="12"/>
      <c r="AZ911" s="12"/>
      <c r="BA911" s="12"/>
      <c r="BB911" s="12"/>
      <c r="BC911" s="12"/>
      <c r="BD911" s="12"/>
    </row>
    <row r="912" spans="1:56" ht="12.75">
      <c r="A912" s="11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  <c r="AX912" s="12"/>
      <c r="AY912" s="12"/>
      <c r="AZ912" s="12"/>
      <c r="BA912" s="12"/>
      <c r="BB912" s="12"/>
      <c r="BC912" s="12"/>
      <c r="BD912" s="12"/>
    </row>
    <row r="913" spans="1:56" ht="12.75">
      <c r="A913" s="11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  <c r="AX913" s="12"/>
      <c r="AY913" s="12"/>
      <c r="AZ913" s="12"/>
      <c r="BA913" s="12"/>
      <c r="BB913" s="12"/>
      <c r="BC913" s="12"/>
      <c r="BD913" s="12"/>
    </row>
    <row r="914" spans="1:56" ht="12.75">
      <c r="A914" s="11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  <c r="AX914" s="12"/>
      <c r="AY914" s="12"/>
      <c r="AZ914" s="12"/>
      <c r="BA914" s="12"/>
      <c r="BB914" s="12"/>
      <c r="BC914" s="12"/>
      <c r="BD914" s="12"/>
    </row>
    <row r="915" spans="1:56" ht="12.75">
      <c r="A915" s="11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  <c r="AX915" s="12"/>
      <c r="AY915" s="12"/>
      <c r="AZ915" s="12"/>
      <c r="BA915" s="12"/>
      <c r="BB915" s="12"/>
      <c r="BC915" s="12"/>
      <c r="BD915" s="12"/>
    </row>
    <row r="916" spans="1:56" ht="12.75">
      <c r="A916" s="11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2"/>
      <c r="AX916" s="12"/>
      <c r="AY916" s="12"/>
      <c r="AZ916" s="12"/>
      <c r="BA916" s="12"/>
      <c r="BB916" s="12"/>
      <c r="BC916" s="12"/>
      <c r="BD916" s="12"/>
    </row>
    <row r="917" spans="1:56" ht="12.75">
      <c r="A917" s="11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  <c r="AW917" s="12"/>
      <c r="AX917" s="12"/>
      <c r="AY917" s="12"/>
      <c r="AZ917" s="12"/>
      <c r="BA917" s="12"/>
      <c r="BB917" s="12"/>
      <c r="BC917" s="12"/>
      <c r="BD917" s="12"/>
    </row>
    <row r="918" spans="1:56" ht="12.75">
      <c r="A918" s="11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  <c r="AX918" s="12"/>
      <c r="AY918" s="12"/>
      <c r="AZ918" s="12"/>
      <c r="BA918" s="12"/>
      <c r="BB918" s="12"/>
      <c r="BC918" s="12"/>
      <c r="BD918" s="12"/>
    </row>
    <row r="919" spans="1:56" ht="12.75">
      <c r="A919" s="11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  <c r="AX919" s="12"/>
      <c r="AY919" s="12"/>
      <c r="AZ919" s="12"/>
      <c r="BA919" s="12"/>
      <c r="BB919" s="12"/>
      <c r="BC919" s="12"/>
      <c r="BD919" s="12"/>
    </row>
    <row r="920" spans="1:56" ht="12.75">
      <c r="A920" s="11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  <c r="AX920" s="12"/>
      <c r="AY920" s="12"/>
      <c r="AZ920" s="12"/>
      <c r="BA920" s="12"/>
      <c r="BB920" s="12"/>
      <c r="BC920" s="12"/>
      <c r="BD920" s="12"/>
    </row>
    <row r="921" spans="1:56" ht="12.75">
      <c r="A921" s="11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  <c r="AX921" s="12"/>
      <c r="AY921" s="12"/>
      <c r="AZ921" s="12"/>
      <c r="BA921" s="12"/>
      <c r="BB921" s="12"/>
      <c r="BC921" s="12"/>
      <c r="BD921" s="12"/>
    </row>
    <row r="922" spans="1:56" ht="12.75">
      <c r="A922" s="11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  <c r="AX922" s="12"/>
      <c r="AY922" s="12"/>
      <c r="AZ922" s="12"/>
      <c r="BA922" s="12"/>
      <c r="BB922" s="12"/>
      <c r="BC922" s="12"/>
      <c r="BD922" s="12"/>
    </row>
    <row r="923" spans="1:56" ht="12.75">
      <c r="A923" s="11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  <c r="AX923" s="12"/>
      <c r="AY923" s="12"/>
      <c r="AZ923" s="12"/>
      <c r="BA923" s="12"/>
      <c r="BB923" s="12"/>
      <c r="BC923" s="12"/>
      <c r="BD923" s="12"/>
    </row>
    <row r="924" spans="1:56" ht="12.75">
      <c r="A924" s="11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  <c r="AX924" s="12"/>
      <c r="AY924" s="12"/>
      <c r="AZ924" s="12"/>
      <c r="BA924" s="12"/>
      <c r="BB924" s="12"/>
      <c r="BC924" s="12"/>
      <c r="BD924" s="12"/>
    </row>
    <row r="925" spans="1:56" ht="12.75">
      <c r="A925" s="11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  <c r="AX925" s="12"/>
      <c r="AY925" s="12"/>
      <c r="AZ925" s="12"/>
      <c r="BA925" s="12"/>
      <c r="BB925" s="12"/>
      <c r="BC925" s="12"/>
      <c r="BD925" s="12"/>
    </row>
    <row r="926" spans="1:56" ht="12.75">
      <c r="A926" s="11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  <c r="AX926" s="12"/>
      <c r="AY926" s="12"/>
      <c r="AZ926" s="12"/>
      <c r="BA926" s="12"/>
      <c r="BB926" s="12"/>
      <c r="BC926" s="12"/>
      <c r="BD926" s="12"/>
    </row>
    <row r="927" spans="1:56" ht="12.75">
      <c r="A927" s="11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  <c r="AX927" s="12"/>
      <c r="AY927" s="12"/>
      <c r="AZ927" s="12"/>
      <c r="BA927" s="12"/>
      <c r="BB927" s="12"/>
      <c r="BC927" s="12"/>
      <c r="BD927" s="12"/>
    </row>
    <row r="928" spans="1:56" ht="12.75">
      <c r="A928" s="11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  <c r="AX928" s="12"/>
      <c r="AY928" s="12"/>
      <c r="AZ928" s="12"/>
      <c r="BA928" s="12"/>
      <c r="BB928" s="12"/>
      <c r="BC928" s="12"/>
      <c r="BD928" s="12"/>
    </row>
    <row r="929" spans="1:56" ht="12.75">
      <c r="A929" s="11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  <c r="AX929" s="12"/>
      <c r="AY929" s="12"/>
      <c r="AZ929" s="12"/>
      <c r="BA929" s="12"/>
      <c r="BB929" s="12"/>
      <c r="BC929" s="12"/>
      <c r="BD929" s="12"/>
    </row>
    <row r="930" spans="1:56" ht="12.75">
      <c r="A930" s="11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  <c r="AX930" s="12"/>
      <c r="AY930" s="12"/>
      <c r="AZ930" s="12"/>
      <c r="BA930" s="12"/>
      <c r="BB930" s="12"/>
      <c r="BC930" s="12"/>
      <c r="BD930" s="12"/>
    </row>
    <row r="931" spans="1:56" ht="12.75">
      <c r="A931" s="11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  <c r="AX931" s="12"/>
      <c r="AY931" s="12"/>
      <c r="AZ931" s="12"/>
      <c r="BA931" s="12"/>
      <c r="BB931" s="12"/>
      <c r="BC931" s="12"/>
      <c r="BD931" s="12"/>
    </row>
    <row r="932" spans="1:56" ht="12.75">
      <c r="A932" s="11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  <c r="AX932" s="12"/>
      <c r="AY932" s="12"/>
      <c r="AZ932" s="12"/>
      <c r="BA932" s="12"/>
      <c r="BB932" s="12"/>
      <c r="BC932" s="12"/>
      <c r="BD932" s="12"/>
    </row>
    <row r="933" spans="1:56" ht="12.75">
      <c r="A933" s="11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  <c r="AX933" s="12"/>
      <c r="AY933" s="12"/>
      <c r="AZ933" s="12"/>
      <c r="BA933" s="12"/>
      <c r="BB933" s="12"/>
      <c r="BC933" s="12"/>
      <c r="BD933" s="12"/>
    </row>
    <row r="934" spans="1:56" ht="12.75">
      <c r="A934" s="11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  <c r="AX934" s="12"/>
      <c r="AY934" s="12"/>
      <c r="AZ934" s="12"/>
      <c r="BA934" s="12"/>
      <c r="BB934" s="12"/>
      <c r="BC934" s="12"/>
      <c r="BD934" s="12"/>
    </row>
    <row r="935" spans="1:56" ht="12.75">
      <c r="A935" s="11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  <c r="AX935" s="12"/>
      <c r="AY935" s="12"/>
      <c r="AZ935" s="12"/>
      <c r="BA935" s="12"/>
      <c r="BB935" s="12"/>
      <c r="BC935" s="12"/>
      <c r="BD935" s="12"/>
    </row>
    <row r="936" spans="1:56" ht="12.75">
      <c r="A936" s="11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  <c r="AX936" s="12"/>
      <c r="AY936" s="12"/>
      <c r="AZ936" s="12"/>
      <c r="BA936" s="12"/>
      <c r="BB936" s="12"/>
      <c r="BC936" s="12"/>
      <c r="BD936" s="12"/>
    </row>
    <row r="937" spans="1:56" ht="12.75">
      <c r="A937" s="11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  <c r="AX937" s="12"/>
      <c r="AY937" s="12"/>
      <c r="AZ937" s="12"/>
      <c r="BA937" s="12"/>
      <c r="BB937" s="12"/>
      <c r="BC937" s="12"/>
      <c r="BD937" s="12"/>
    </row>
    <row r="938" spans="1:56" ht="12.75">
      <c r="A938" s="11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2"/>
      <c r="AX938" s="12"/>
      <c r="AY938" s="12"/>
      <c r="AZ938" s="12"/>
      <c r="BA938" s="12"/>
      <c r="BB938" s="12"/>
      <c r="BC938" s="12"/>
      <c r="BD938" s="12"/>
    </row>
    <row r="939" spans="1:56" ht="12.75">
      <c r="A939" s="11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  <c r="AX939" s="12"/>
      <c r="AY939" s="12"/>
      <c r="AZ939" s="12"/>
      <c r="BA939" s="12"/>
      <c r="BB939" s="12"/>
      <c r="BC939" s="12"/>
      <c r="BD939" s="12"/>
    </row>
    <row r="940" spans="1:56" ht="12.75">
      <c r="A940" s="11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  <c r="AX940" s="12"/>
      <c r="AY940" s="12"/>
      <c r="AZ940" s="12"/>
      <c r="BA940" s="12"/>
      <c r="BB940" s="12"/>
      <c r="BC940" s="12"/>
      <c r="BD940" s="12"/>
    </row>
    <row r="941" spans="1:56" ht="12.75">
      <c r="A941" s="11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  <c r="AX941" s="12"/>
      <c r="AY941" s="12"/>
      <c r="AZ941" s="12"/>
      <c r="BA941" s="12"/>
      <c r="BB941" s="12"/>
      <c r="BC941" s="12"/>
      <c r="BD941" s="12"/>
    </row>
    <row r="942" spans="1:56" ht="12.75">
      <c r="A942" s="11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2"/>
      <c r="AX942" s="12"/>
      <c r="AY942" s="12"/>
      <c r="AZ942" s="12"/>
      <c r="BA942" s="12"/>
      <c r="BB942" s="12"/>
      <c r="BC942" s="12"/>
      <c r="BD942" s="12"/>
    </row>
    <row r="943" spans="1:56" ht="12.75">
      <c r="A943" s="11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  <c r="AX943" s="12"/>
      <c r="AY943" s="12"/>
      <c r="AZ943" s="12"/>
      <c r="BA943" s="12"/>
      <c r="BB943" s="12"/>
      <c r="BC943" s="12"/>
      <c r="BD943" s="12"/>
    </row>
    <row r="944" spans="1:56" ht="12.75">
      <c r="A944" s="11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  <c r="AX944" s="12"/>
      <c r="AY944" s="12"/>
      <c r="AZ944" s="12"/>
      <c r="BA944" s="12"/>
      <c r="BB944" s="12"/>
      <c r="BC944" s="12"/>
      <c r="BD944" s="12"/>
    </row>
    <row r="945" spans="1:56" ht="12.75">
      <c r="A945" s="11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  <c r="AX945" s="12"/>
      <c r="AY945" s="12"/>
      <c r="AZ945" s="12"/>
      <c r="BA945" s="12"/>
      <c r="BB945" s="12"/>
      <c r="BC945" s="12"/>
      <c r="BD945" s="12"/>
    </row>
    <row r="946" spans="1:56" ht="12.75">
      <c r="A946" s="11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  <c r="AX946" s="12"/>
      <c r="AY946" s="12"/>
      <c r="AZ946" s="12"/>
      <c r="BA946" s="12"/>
      <c r="BB946" s="12"/>
      <c r="BC946" s="12"/>
      <c r="BD946" s="12"/>
    </row>
    <row r="947" spans="1:56" ht="12.75">
      <c r="A947" s="11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  <c r="AX947" s="12"/>
      <c r="AY947" s="12"/>
      <c r="AZ947" s="12"/>
      <c r="BA947" s="12"/>
      <c r="BB947" s="12"/>
      <c r="BC947" s="12"/>
      <c r="BD947" s="12"/>
    </row>
    <row r="948" spans="1:56" ht="12.75">
      <c r="A948" s="11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  <c r="AX948" s="12"/>
      <c r="AY948" s="12"/>
      <c r="AZ948" s="12"/>
      <c r="BA948" s="12"/>
      <c r="BB948" s="12"/>
      <c r="BC948" s="12"/>
      <c r="BD948" s="12"/>
    </row>
    <row r="949" spans="1:56" ht="12.75">
      <c r="A949" s="11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  <c r="AX949" s="12"/>
      <c r="AY949" s="12"/>
      <c r="AZ949" s="12"/>
      <c r="BA949" s="12"/>
      <c r="BB949" s="12"/>
      <c r="BC949" s="12"/>
      <c r="BD949" s="12"/>
    </row>
    <row r="950" spans="1:56" ht="12.75">
      <c r="A950" s="11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  <c r="AX950" s="12"/>
      <c r="AY950" s="12"/>
      <c r="AZ950" s="12"/>
      <c r="BA950" s="12"/>
      <c r="BB950" s="12"/>
      <c r="BC950" s="12"/>
      <c r="BD950" s="12"/>
    </row>
    <row r="951" spans="1:56" ht="12.75">
      <c r="A951" s="11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  <c r="AW951" s="12"/>
      <c r="AX951" s="12"/>
      <c r="AY951" s="12"/>
      <c r="AZ951" s="12"/>
      <c r="BA951" s="12"/>
      <c r="BB951" s="12"/>
      <c r="BC951" s="12"/>
      <c r="BD951" s="12"/>
    </row>
    <row r="952" spans="1:56" ht="12.75">
      <c r="A952" s="11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  <c r="AX952" s="12"/>
      <c r="AY952" s="12"/>
      <c r="AZ952" s="12"/>
      <c r="BA952" s="12"/>
      <c r="BB952" s="12"/>
      <c r="BC952" s="12"/>
      <c r="BD952" s="12"/>
    </row>
    <row r="953" spans="1:56" ht="12.75">
      <c r="A953" s="11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  <c r="AX953" s="12"/>
      <c r="AY953" s="12"/>
      <c r="AZ953" s="12"/>
      <c r="BA953" s="12"/>
      <c r="BB953" s="12"/>
      <c r="BC953" s="12"/>
      <c r="BD953" s="12"/>
    </row>
    <row r="954" spans="1:56" ht="12.75">
      <c r="A954" s="11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  <c r="AX954" s="12"/>
      <c r="AY954" s="12"/>
      <c r="AZ954" s="12"/>
      <c r="BA954" s="12"/>
      <c r="BB954" s="12"/>
      <c r="BC954" s="12"/>
      <c r="BD954" s="12"/>
    </row>
    <row r="955" spans="1:56" ht="12.75">
      <c r="A955" s="11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  <c r="AX955" s="12"/>
      <c r="AY955" s="12"/>
      <c r="AZ955" s="12"/>
      <c r="BA955" s="12"/>
      <c r="BB955" s="12"/>
      <c r="BC955" s="12"/>
      <c r="BD955" s="12"/>
    </row>
    <row r="956" spans="1:56" ht="12.75">
      <c r="A956" s="11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  <c r="AX956" s="12"/>
      <c r="AY956" s="12"/>
      <c r="AZ956" s="12"/>
      <c r="BA956" s="12"/>
      <c r="BB956" s="12"/>
      <c r="BC956" s="12"/>
      <c r="BD956" s="12"/>
    </row>
    <row r="957" spans="1:56" ht="12.75">
      <c r="A957" s="11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  <c r="AX957" s="12"/>
      <c r="AY957" s="12"/>
      <c r="AZ957" s="12"/>
      <c r="BA957" s="12"/>
      <c r="BB957" s="12"/>
      <c r="BC957" s="12"/>
      <c r="BD957" s="12"/>
    </row>
    <row r="958" spans="1:56" ht="12.75">
      <c r="A958" s="11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  <c r="AX958" s="12"/>
      <c r="AY958" s="12"/>
      <c r="AZ958" s="12"/>
      <c r="BA958" s="12"/>
      <c r="BB958" s="12"/>
      <c r="BC958" s="12"/>
      <c r="BD958" s="12"/>
    </row>
    <row r="959" spans="1:56" ht="12.75">
      <c r="A959" s="11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  <c r="AW959" s="12"/>
      <c r="AX959" s="12"/>
      <c r="AY959" s="12"/>
      <c r="AZ959" s="12"/>
      <c r="BA959" s="12"/>
      <c r="BB959" s="12"/>
      <c r="BC959" s="12"/>
      <c r="BD959" s="12"/>
    </row>
    <row r="960" spans="1:56" ht="12.75">
      <c r="A960" s="11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  <c r="AW960" s="12"/>
      <c r="AX960" s="12"/>
      <c r="AY960" s="12"/>
      <c r="AZ960" s="12"/>
      <c r="BA960" s="12"/>
      <c r="BB960" s="12"/>
      <c r="BC960" s="12"/>
      <c r="BD960" s="12"/>
    </row>
    <row r="961" spans="1:56" ht="12.75">
      <c r="A961" s="11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  <c r="AW961" s="12"/>
      <c r="AX961" s="12"/>
      <c r="AY961" s="12"/>
      <c r="AZ961" s="12"/>
      <c r="BA961" s="12"/>
      <c r="BB961" s="12"/>
      <c r="BC961" s="12"/>
      <c r="BD961" s="12"/>
    </row>
    <row r="962" spans="1:56" ht="12.75">
      <c r="A962" s="11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  <c r="AW962" s="12"/>
      <c r="AX962" s="12"/>
      <c r="AY962" s="12"/>
      <c r="AZ962" s="12"/>
      <c r="BA962" s="12"/>
      <c r="BB962" s="12"/>
      <c r="BC962" s="12"/>
      <c r="BD962" s="12"/>
    </row>
    <row r="963" spans="1:56" ht="12.75">
      <c r="A963" s="11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  <c r="AW963" s="12"/>
      <c r="AX963" s="12"/>
      <c r="AY963" s="12"/>
      <c r="AZ963" s="12"/>
      <c r="BA963" s="12"/>
      <c r="BB963" s="12"/>
      <c r="BC963" s="12"/>
      <c r="BD963" s="12"/>
    </row>
    <row r="964" spans="1:56" ht="12.75">
      <c r="A964" s="11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  <c r="AX964" s="12"/>
      <c r="AY964" s="12"/>
      <c r="AZ964" s="12"/>
      <c r="BA964" s="12"/>
      <c r="BB964" s="12"/>
      <c r="BC964" s="12"/>
      <c r="BD964" s="12"/>
    </row>
    <row r="965" spans="1:56" ht="12.75">
      <c r="A965" s="11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  <c r="AW965" s="12"/>
      <c r="AX965" s="12"/>
      <c r="AY965" s="12"/>
      <c r="AZ965" s="12"/>
      <c r="BA965" s="12"/>
      <c r="BB965" s="12"/>
      <c r="BC965" s="12"/>
      <c r="BD965" s="12"/>
    </row>
    <row r="966" spans="1:56" ht="12.75">
      <c r="A966" s="11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  <c r="AW966" s="12"/>
      <c r="AX966" s="12"/>
      <c r="AY966" s="12"/>
      <c r="AZ966" s="12"/>
      <c r="BA966" s="12"/>
      <c r="BB966" s="12"/>
      <c r="BC966" s="12"/>
      <c r="BD966" s="12"/>
    </row>
    <row r="967" spans="1:56" ht="12.75">
      <c r="A967" s="11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  <c r="AW967" s="12"/>
      <c r="AX967" s="12"/>
      <c r="AY967" s="12"/>
      <c r="AZ967" s="12"/>
      <c r="BA967" s="12"/>
      <c r="BB967" s="12"/>
      <c r="BC967" s="12"/>
      <c r="BD967" s="12"/>
    </row>
    <row r="968" spans="1:56" ht="12.75">
      <c r="A968" s="11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  <c r="AX968" s="12"/>
      <c r="AY968" s="12"/>
      <c r="AZ968" s="12"/>
      <c r="BA968" s="12"/>
      <c r="BB968" s="12"/>
      <c r="BC968" s="12"/>
      <c r="BD968" s="12"/>
    </row>
    <row r="969" spans="1:56" ht="12.75">
      <c r="A969" s="11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  <c r="AX969" s="12"/>
      <c r="AY969" s="12"/>
      <c r="AZ969" s="12"/>
      <c r="BA969" s="12"/>
      <c r="BB969" s="12"/>
      <c r="BC969" s="12"/>
      <c r="BD969" s="12"/>
    </row>
    <row r="970" spans="1:56" ht="12.75">
      <c r="A970" s="11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  <c r="AX970" s="12"/>
      <c r="AY970" s="12"/>
      <c r="AZ970" s="12"/>
      <c r="BA970" s="12"/>
      <c r="BB970" s="12"/>
      <c r="BC970" s="12"/>
      <c r="BD970" s="12"/>
    </row>
    <row r="971" spans="1:56" ht="12.75">
      <c r="A971" s="11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  <c r="AW971" s="12"/>
      <c r="AX971" s="12"/>
      <c r="AY971" s="12"/>
      <c r="AZ971" s="12"/>
      <c r="BA971" s="12"/>
      <c r="BB971" s="12"/>
      <c r="BC971" s="12"/>
      <c r="BD971" s="12"/>
    </row>
    <row r="972" spans="1:56" ht="12.75">
      <c r="A972" s="11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  <c r="AW972" s="12"/>
      <c r="AX972" s="12"/>
      <c r="AY972" s="12"/>
      <c r="AZ972" s="12"/>
      <c r="BA972" s="12"/>
      <c r="BB972" s="12"/>
      <c r="BC972" s="12"/>
      <c r="BD972" s="12"/>
    </row>
    <row r="973" spans="1:56" ht="12.75">
      <c r="A973" s="11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  <c r="AW973" s="12"/>
      <c r="AX973" s="12"/>
      <c r="AY973" s="12"/>
      <c r="AZ973" s="12"/>
      <c r="BA973" s="12"/>
      <c r="BB973" s="12"/>
      <c r="BC973" s="12"/>
      <c r="BD973" s="12"/>
    </row>
    <row r="974" spans="1:56" ht="12.75">
      <c r="A974" s="11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  <c r="AW974" s="12"/>
      <c r="AX974" s="12"/>
      <c r="AY974" s="12"/>
      <c r="AZ974" s="12"/>
      <c r="BA974" s="12"/>
      <c r="BB974" s="12"/>
      <c r="BC974" s="12"/>
      <c r="BD974" s="12"/>
    </row>
    <row r="975" spans="1:56" ht="12.75">
      <c r="A975" s="11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  <c r="AW975" s="12"/>
      <c r="AX975" s="12"/>
      <c r="AY975" s="12"/>
      <c r="AZ975" s="12"/>
      <c r="BA975" s="12"/>
      <c r="BB975" s="12"/>
      <c r="BC975" s="12"/>
      <c r="BD975" s="12"/>
    </row>
    <row r="976" spans="1:56" ht="12.75">
      <c r="A976" s="11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2"/>
      <c r="AX976" s="12"/>
      <c r="AY976" s="12"/>
      <c r="AZ976" s="12"/>
      <c r="BA976" s="12"/>
      <c r="BB976" s="12"/>
      <c r="BC976" s="12"/>
      <c r="BD976" s="12"/>
    </row>
    <row r="977" spans="1:56" ht="12.75">
      <c r="A977" s="11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  <c r="AW977" s="12"/>
      <c r="AX977" s="12"/>
      <c r="AY977" s="12"/>
      <c r="AZ977" s="12"/>
      <c r="BA977" s="12"/>
      <c r="BB977" s="12"/>
      <c r="BC977" s="12"/>
      <c r="BD977" s="12"/>
    </row>
    <row r="978" spans="1:56" ht="12.75">
      <c r="A978" s="11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  <c r="AW978" s="12"/>
      <c r="AX978" s="12"/>
      <c r="AY978" s="12"/>
      <c r="AZ978" s="12"/>
      <c r="BA978" s="12"/>
      <c r="BB978" s="12"/>
      <c r="BC978" s="12"/>
      <c r="BD978" s="12"/>
    </row>
    <row r="979" spans="1:56" ht="12.75">
      <c r="A979" s="11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  <c r="AW979" s="12"/>
      <c r="AX979" s="12"/>
      <c r="AY979" s="12"/>
      <c r="AZ979" s="12"/>
      <c r="BA979" s="12"/>
      <c r="BB979" s="12"/>
      <c r="BC979" s="12"/>
      <c r="BD979" s="12"/>
    </row>
    <row r="980" spans="1:56" ht="12.75">
      <c r="A980" s="11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  <c r="AW980" s="12"/>
      <c r="AX980" s="12"/>
      <c r="AY980" s="12"/>
      <c r="AZ980" s="12"/>
      <c r="BA980" s="12"/>
      <c r="BB980" s="12"/>
      <c r="BC980" s="12"/>
      <c r="BD980" s="12"/>
    </row>
    <row r="981" spans="1:56" ht="12.75">
      <c r="A981" s="11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  <c r="AW981" s="12"/>
      <c r="AX981" s="12"/>
      <c r="AY981" s="12"/>
      <c r="AZ981" s="12"/>
      <c r="BA981" s="12"/>
      <c r="BB981" s="12"/>
      <c r="BC981" s="12"/>
      <c r="BD981" s="12"/>
    </row>
    <row r="982" spans="1:56" ht="12.75">
      <c r="A982" s="11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  <c r="AW982" s="12"/>
      <c r="AX982" s="12"/>
      <c r="AY982" s="12"/>
      <c r="AZ982" s="12"/>
      <c r="BA982" s="12"/>
      <c r="BB982" s="12"/>
      <c r="BC982" s="12"/>
      <c r="BD982" s="12"/>
    </row>
    <row r="983" spans="1:56" ht="12.75">
      <c r="A983" s="11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  <c r="AW983" s="12"/>
      <c r="AX983" s="12"/>
      <c r="AY983" s="12"/>
      <c r="AZ983" s="12"/>
      <c r="BA983" s="12"/>
      <c r="BB983" s="12"/>
      <c r="BC983" s="12"/>
      <c r="BD983" s="12"/>
    </row>
    <row r="984" spans="1:56" ht="12.75">
      <c r="A984" s="11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  <c r="AW984" s="12"/>
      <c r="AX984" s="12"/>
      <c r="AY984" s="12"/>
      <c r="AZ984" s="12"/>
      <c r="BA984" s="12"/>
      <c r="BB984" s="12"/>
      <c r="BC984" s="12"/>
      <c r="BD984" s="12"/>
    </row>
    <row r="985" spans="1:56" ht="12.75">
      <c r="A985" s="11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  <c r="AR985" s="12"/>
      <c r="AS985" s="12"/>
      <c r="AT985" s="12"/>
      <c r="AU985" s="12"/>
      <c r="AV985" s="12"/>
      <c r="AW985" s="12"/>
      <c r="AX985" s="12"/>
      <c r="AY985" s="12"/>
      <c r="AZ985" s="12"/>
      <c r="BA985" s="12"/>
      <c r="BB985" s="12"/>
      <c r="BC985" s="12"/>
      <c r="BD985" s="12"/>
    </row>
    <row r="986" spans="1:56" ht="12.75">
      <c r="A986" s="11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  <c r="AW986" s="12"/>
      <c r="AX986" s="12"/>
      <c r="AY986" s="12"/>
      <c r="AZ986" s="12"/>
      <c r="BA986" s="12"/>
      <c r="BB986" s="12"/>
      <c r="BC986" s="12"/>
      <c r="BD986" s="12"/>
    </row>
    <row r="987" spans="1:56" ht="12.75">
      <c r="A987" s="11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  <c r="AW987" s="12"/>
      <c r="AX987" s="12"/>
      <c r="AY987" s="12"/>
      <c r="AZ987" s="12"/>
      <c r="BA987" s="12"/>
      <c r="BB987" s="12"/>
      <c r="BC987" s="12"/>
      <c r="BD987" s="12"/>
    </row>
    <row r="988" spans="1:56" ht="12.75">
      <c r="A988" s="11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  <c r="AW988" s="12"/>
      <c r="AX988" s="12"/>
      <c r="AY988" s="12"/>
      <c r="AZ988" s="12"/>
      <c r="BA988" s="12"/>
      <c r="BB988" s="12"/>
      <c r="BC988" s="12"/>
      <c r="BD988" s="12"/>
    </row>
    <row r="989" spans="1:56" ht="12.75">
      <c r="A989" s="11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  <c r="AQ989" s="12"/>
      <c r="AR989" s="12"/>
      <c r="AS989" s="12"/>
      <c r="AT989" s="12"/>
      <c r="AU989" s="12"/>
      <c r="AV989" s="12"/>
      <c r="AW989" s="12"/>
      <c r="AX989" s="12"/>
      <c r="AY989" s="12"/>
      <c r="AZ989" s="12"/>
      <c r="BA989" s="12"/>
      <c r="BB989" s="12"/>
      <c r="BC989" s="12"/>
      <c r="BD989" s="12"/>
    </row>
    <row r="990" spans="1:56" ht="12.75">
      <c r="A990" s="11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  <c r="AW990" s="12"/>
      <c r="AX990" s="12"/>
      <c r="AY990" s="12"/>
      <c r="AZ990" s="12"/>
      <c r="BA990" s="12"/>
      <c r="BB990" s="12"/>
      <c r="BC990" s="12"/>
      <c r="BD990" s="12"/>
    </row>
    <row r="991" spans="1:56" ht="12.75">
      <c r="A991" s="11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2"/>
      <c r="AR991" s="12"/>
      <c r="AS991" s="12"/>
      <c r="AT991" s="12"/>
      <c r="AU991" s="12"/>
      <c r="AV991" s="12"/>
      <c r="AW991" s="12"/>
      <c r="AX991" s="12"/>
      <c r="AY991" s="12"/>
      <c r="AZ991" s="12"/>
      <c r="BA991" s="12"/>
      <c r="BB991" s="12"/>
      <c r="BC991" s="12"/>
      <c r="BD991" s="12"/>
    </row>
    <row r="992" spans="1:56" ht="12.75">
      <c r="A992" s="11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  <c r="AW992" s="12"/>
      <c r="AX992" s="12"/>
      <c r="AY992" s="12"/>
      <c r="AZ992" s="12"/>
      <c r="BA992" s="12"/>
      <c r="BB992" s="12"/>
      <c r="BC992" s="12"/>
      <c r="BD992" s="12"/>
    </row>
    <row r="993" spans="1:56" ht="12.75">
      <c r="A993" s="11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  <c r="AW993" s="12"/>
      <c r="AX993" s="12"/>
      <c r="AY993" s="12"/>
      <c r="AZ993" s="12"/>
      <c r="BA993" s="12"/>
      <c r="BB993" s="12"/>
      <c r="BC993" s="12"/>
      <c r="BD993" s="12"/>
    </row>
    <row r="994" spans="1:56" ht="12.75">
      <c r="A994" s="11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  <c r="AW994" s="12"/>
      <c r="AX994" s="12"/>
      <c r="AY994" s="12"/>
      <c r="AZ994" s="12"/>
      <c r="BA994" s="12"/>
      <c r="BB994" s="12"/>
      <c r="BC994" s="12"/>
      <c r="BD994" s="12"/>
    </row>
    <row r="995" spans="1:56" ht="12.75">
      <c r="A995" s="11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  <c r="AP995" s="12"/>
      <c r="AQ995" s="12"/>
      <c r="AR995" s="12"/>
      <c r="AS995" s="12"/>
      <c r="AT995" s="12"/>
      <c r="AU995" s="12"/>
      <c r="AV995" s="12"/>
      <c r="AW995" s="12"/>
      <c r="AX995" s="12"/>
      <c r="AY995" s="12"/>
      <c r="AZ995" s="12"/>
      <c r="BA995" s="12"/>
      <c r="BB995" s="12"/>
      <c r="BC995" s="12"/>
      <c r="BD995" s="12"/>
    </row>
    <row r="996" spans="1:56" ht="12.75">
      <c r="A996" s="11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  <c r="AW996" s="12"/>
      <c r="AX996" s="12"/>
      <c r="AY996" s="12"/>
      <c r="AZ996" s="12"/>
      <c r="BA996" s="12"/>
      <c r="BB996" s="12"/>
      <c r="BC996" s="12"/>
      <c r="BD996" s="12"/>
    </row>
    <row r="997" spans="1:56" ht="12.75">
      <c r="A997" s="11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2"/>
      <c r="AP997" s="12"/>
      <c r="AQ997" s="12"/>
      <c r="AR997" s="12"/>
      <c r="AS997" s="12"/>
      <c r="AT997" s="12"/>
      <c r="AU997" s="12"/>
      <c r="AV997" s="12"/>
      <c r="AW997" s="12"/>
      <c r="AX997" s="12"/>
      <c r="AY997" s="12"/>
      <c r="AZ997" s="12"/>
      <c r="BA997" s="12"/>
      <c r="BB997" s="12"/>
      <c r="BC997" s="12"/>
      <c r="BD997" s="12"/>
    </row>
    <row r="998" spans="1:56" ht="12.75">
      <c r="A998" s="11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  <c r="AW998" s="12"/>
      <c r="AX998" s="12"/>
      <c r="AY998" s="12"/>
      <c r="AZ998" s="12"/>
      <c r="BA998" s="12"/>
      <c r="BB998" s="12"/>
      <c r="BC998" s="12"/>
      <c r="BD998" s="12"/>
    </row>
    <row r="999" spans="1:56" ht="12.75">
      <c r="A999" s="11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12"/>
      <c r="AP999" s="12"/>
      <c r="AQ999" s="12"/>
      <c r="AR999" s="12"/>
      <c r="AS999" s="12"/>
      <c r="AT999" s="12"/>
      <c r="AU999" s="12"/>
      <c r="AV999" s="12"/>
      <c r="AW999" s="12"/>
      <c r="AX999" s="12"/>
      <c r="AY999" s="12"/>
      <c r="AZ999" s="12"/>
      <c r="BA999" s="12"/>
      <c r="BB999" s="12"/>
      <c r="BC999" s="12"/>
      <c r="BD999" s="12"/>
    </row>
    <row r="1000" spans="1:56" ht="12.75">
      <c r="A1000" s="11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  <c r="AP1000" s="12"/>
      <c r="AQ1000" s="12"/>
      <c r="AR1000" s="12"/>
      <c r="AS1000" s="12"/>
      <c r="AT1000" s="12"/>
      <c r="AU1000" s="12"/>
      <c r="AV1000" s="12"/>
      <c r="AW1000" s="12"/>
      <c r="AX1000" s="12"/>
      <c r="AY1000" s="12"/>
      <c r="AZ1000" s="12"/>
      <c r="BA1000" s="12"/>
      <c r="BB1000" s="12"/>
      <c r="BC1000" s="12"/>
      <c r="BD1000" s="12"/>
    </row>
  </sheetData>
  <mergeCells count="42">
    <mergeCell ref="AW2:AX2"/>
    <mergeCell ref="AY2:AZ2"/>
    <mergeCell ref="BA2:BB2"/>
    <mergeCell ref="BC2:BD2"/>
    <mergeCell ref="V2:W2"/>
    <mergeCell ref="X2:Y2"/>
    <mergeCell ref="AL2:AM2"/>
    <mergeCell ref="AN2:AO2"/>
    <mergeCell ref="AP2:AQ2"/>
    <mergeCell ref="AS2:AT2"/>
    <mergeCell ref="AU2:AV2"/>
    <mergeCell ref="Z1:AE1"/>
    <mergeCell ref="AF1:AK1"/>
    <mergeCell ref="AL1:AQ1"/>
    <mergeCell ref="AS1:AX1"/>
    <mergeCell ref="AY1:BD1"/>
    <mergeCell ref="A1:A3"/>
    <mergeCell ref="B1:G1"/>
    <mergeCell ref="H1:M1"/>
    <mergeCell ref="N1:S1"/>
    <mergeCell ref="T1:Y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AD2:AE2"/>
    <mergeCell ref="AF2:AG2"/>
    <mergeCell ref="AD48:AG48"/>
    <mergeCell ref="AH2:AI2"/>
    <mergeCell ref="AJ2:AK2"/>
    <mergeCell ref="AH48:AK48"/>
    <mergeCell ref="Z2:AA2"/>
    <mergeCell ref="AB2:AC2"/>
    <mergeCell ref="N48:O48"/>
    <mergeCell ref="P48:Q48"/>
    <mergeCell ref="R48:S4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C41"/>
  <sheetViews>
    <sheetView workbookViewId="0"/>
  </sheetViews>
  <sheetFormatPr defaultColWidth="12.5703125" defaultRowHeight="15.75" customHeight="1"/>
  <sheetData>
    <row r="1" spans="1:55" ht="15.75" customHeight="1">
      <c r="A1" s="29" t="s">
        <v>0</v>
      </c>
      <c r="B1" s="23" t="s">
        <v>21</v>
      </c>
      <c r="C1" s="25"/>
      <c r="D1" s="25"/>
      <c r="E1" s="25"/>
      <c r="F1" s="25"/>
      <c r="G1" s="20"/>
      <c r="H1" s="23" t="s">
        <v>1173</v>
      </c>
      <c r="I1" s="25"/>
      <c r="J1" s="25"/>
      <c r="K1" s="25"/>
      <c r="L1" s="25"/>
      <c r="M1" s="20"/>
      <c r="N1" s="23" t="s">
        <v>1174</v>
      </c>
      <c r="O1" s="25"/>
      <c r="P1" s="25"/>
      <c r="Q1" s="25"/>
      <c r="R1" s="25"/>
      <c r="S1" s="20"/>
      <c r="T1" s="23" t="s">
        <v>24</v>
      </c>
      <c r="U1" s="25"/>
      <c r="V1" s="25"/>
      <c r="W1" s="25"/>
      <c r="X1" s="25"/>
      <c r="Y1" s="20"/>
      <c r="Z1" s="21" t="s">
        <v>16</v>
      </c>
      <c r="AA1" s="25"/>
      <c r="AB1" s="25"/>
      <c r="AC1" s="25"/>
      <c r="AD1" s="25"/>
      <c r="AE1" s="20"/>
      <c r="AF1" s="21" t="s">
        <v>17</v>
      </c>
      <c r="AG1" s="25"/>
      <c r="AH1" s="25"/>
      <c r="AI1" s="25"/>
      <c r="AJ1" s="25"/>
      <c r="AK1" s="20"/>
      <c r="AL1" s="21" t="s">
        <v>18</v>
      </c>
      <c r="AM1" s="25"/>
      <c r="AN1" s="25"/>
      <c r="AO1" s="25"/>
      <c r="AP1" s="25"/>
      <c r="AQ1" s="20"/>
      <c r="AR1" s="21" t="s">
        <v>19</v>
      </c>
      <c r="AS1" s="25"/>
      <c r="AT1" s="25"/>
      <c r="AU1" s="25"/>
      <c r="AV1" s="25"/>
      <c r="AW1" s="20"/>
      <c r="AX1" s="21" t="s">
        <v>20</v>
      </c>
      <c r="AY1" s="25"/>
      <c r="AZ1" s="25"/>
      <c r="BA1" s="25"/>
      <c r="BB1" s="25"/>
      <c r="BC1" s="20"/>
    </row>
    <row r="2" spans="1:55" ht="15.75" customHeight="1">
      <c r="A2" s="28"/>
      <c r="B2" s="23" t="s">
        <v>25</v>
      </c>
      <c r="C2" s="20"/>
      <c r="D2" s="23" t="s">
        <v>26</v>
      </c>
      <c r="E2" s="20"/>
      <c r="F2" s="23" t="s">
        <v>27</v>
      </c>
      <c r="G2" s="20"/>
      <c r="H2" s="23" t="s">
        <v>25</v>
      </c>
      <c r="I2" s="20"/>
      <c r="J2" s="23" t="s">
        <v>26</v>
      </c>
      <c r="K2" s="20"/>
      <c r="L2" s="23" t="s">
        <v>27</v>
      </c>
      <c r="M2" s="20"/>
      <c r="N2" s="23" t="s">
        <v>25</v>
      </c>
      <c r="O2" s="20"/>
      <c r="P2" s="23" t="s">
        <v>26</v>
      </c>
      <c r="Q2" s="20"/>
      <c r="R2" s="23" t="s">
        <v>27</v>
      </c>
      <c r="S2" s="20"/>
      <c r="T2" s="23" t="s">
        <v>25</v>
      </c>
      <c r="U2" s="20"/>
      <c r="V2" s="23" t="s">
        <v>26</v>
      </c>
      <c r="W2" s="20"/>
      <c r="X2" s="23" t="s">
        <v>27</v>
      </c>
      <c r="Y2" s="20"/>
      <c r="Z2" s="21" t="s">
        <v>25</v>
      </c>
      <c r="AA2" s="20"/>
      <c r="AB2" s="21" t="s">
        <v>26</v>
      </c>
      <c r="AC2" s="20"/>
      <c r="AD2" s="21" t="s">
        <v>27</v>
      </c>
      <c r="AE2" s="20"/>
      <c r="AF2" s="21" t="s">
        <v>25</v>
      </c>
      <c r="AG2" s="20"/>
      <c r="AH2" s="21" t="s">
        <v>26</v>
      </c>
      <c r="AI2" s="20"/>
      <c r="AJ2" s="21" t="s">
        <v>27</v>
      </c>
      <c r="AK2" s="20"/>
      <c r="AL2" s="21" t="s">
        <v>25</v>
      </c>
      <c r="AM2" s="20"/>
      <c r="AN2" s="21" t="s">
        <v>26</v>
      </c>
      <c r="AO2" s="20"/>
      <c r="AP2" s="21" t="s">
        <v>27</v>
      </c>
      <c r="AQ2" s="20"/>
      <c r="AR2" s="21" t="s">
        <v>25</v>
      </c>
      <c r="AS2" s="20"/>
      <c r="AT2" s="21" t="s">
        <v>26</v>
      </c>
      <c r="AU2" s="20"/>
      <c r="AV2" s="21" t="s">
        <v>27</v>
      </c>
      <c r="AW2" s="20"/>
      <c r="AX2" s="21" t="s">
        <v>25</v>
      </c>
      <c r="AY2" s="20"/>
      <c r="AZ2" s="21" t="s">
        <v>26</v>
      </c>
      <c r="BA2" s="20"/>
      <c r="BB2" s="21" t="s">
        <v>27</v>
      </c>
      <c r="BC2" s="20"/>
    </row>
    <row r="3" spans="1:55" ht="15.75" customHeight="1">
      <c r="A3" s="19"/>
      <c r="B3" s="5" t="s">
        <v>2</v>
      </c>
      <c r="C3" s="5" t="s">
        <v>14</v>
      </c>
      <c r="D3" s="5" t="s">
        <v>2</v>
      </c>
      <c r="E3" s="5" t="s">
        <v>14</v>
      </c>
      <c r="F3" s="5" t="s">
        <v>2</v>
      </c>
      <c r="G3" s="5" t="s">
        <v>14</v>
      </c>
      <c r="H3" s="5" t="s">
        <v>2</v>
      </c>
      <c r="I3" s="5" t="s">
        <v>14</v>
      </c>
      <c r="J3" s="5" t="s">
        <v>2</v>
      </c>
      <c r="K3" s="5" t="s">
        <v>14</v>
      </c>
      <c r="L3" s="5" t="s">
        <v>2</v>
      </c>
      <c r="M3" s="5" t="s">
        <v>14</v>
      </c>
      <c r="N3" s="5" t="s">
        <v>2</v>
      </c>
      <c r="O3" s="5" t="s">
        <v>14</v>
      </c>
      <c r="P3" s="5" t="s">
        <v>2</v>
      </c>
      <c r="Q3" s="5" t="s">
        <v>14</v>
      </c>
      <c r="R3" s="5" t="s">
        <v>2</v>
      </c>
      <c r="S3" s="5" t="s">
        <v>14</v>
      </c>
      <c r="T3" s="5" t="s">
        <v>2</v>
      </c>
      <c r="U3" s="5" t="s">
        <v>14</v>
      </c>
      <c r="V3" s="5" t="s">
        <v>2</v>
      </c>
      <c r="W3" s="5" t="s">
        <v>14</v>
      </c>
      <c r="X3" s="5" t="s">
        <v>2</v>
      </c>
      <c r="Y3" s="5" t="s">
        <v>14</v>
      </c>
      <c r="Z3" s="6" t="s">
        <v>2</v>
      </c>
      <c r="AA3" s="6" t="s">
        <v>14</v>
      </c>
      <c r="AB3" s="6" t="s">
        <v>2</v>
      </c>
      <c r="AC3" s="6" t="s">
        <v>14</v>
      </c>
      <c r="AD3" s="6" t="s">
        <v>2</v>
      </c>
      <c r="AE3" s="6" t="s">
        <v>14</v>
      </c>
      <c r="AF3" s="6" t="s">
        <v>2</v>
      </c>
      <c r="AG3" s="6" t="s">
        <v>14</v>
      </c>
      <c r="AH3" s="6" t="s">
        <v>2</v>
      </c>
      <c r="AI3" s="6" t="s">
        <v>14</v>
      </c>
      <c r="AJ3" s="6" t="s">
        <v>2</v>
      </c>
      <c r="AK3" s="6" t="s">
        <v>14</v>
      </c>
      <c r="AL3" s="6" t="s">
        <v>2</v>
      </c>
      <c r="AM3" s="9" t="s">
        <v>14</v>
      </c>
      <c r="AN3" s="6" t="s">
        <v>2</v>
      </c>
      <c r="AO3" s="6" t="s">
        <v>14</v>
      </c>
      <c r="AP3" s="6" t="s">
        <v>2</v>
      </c>
      <c r="AQ3" s="6" t="s">
        <v>14</v>
      </c>
      <c r="AR3" s="6" t="s">
        <v>2</v>
      </c>
      <c r="AS3" s="6" t="s">
        <v>14</v>
      </c>
      <c r="AT3" s="6" t="s">
        <v>2</v>
      </c>
      <c r="AU3" s="6" t="s">
        <v>14</v>
      </c>
      <c r="AV3" s="6" t="s">
        <v>2</v>
      </c>
      <c r="AW3" s="6" t="s">
        <v>14</v>
      </c>
      <c r="AX3" s="6" t="s">
        <v>2</v>
      </c>
      <c r="AY3" s="6" t="s">
        <v>14</v>
      </c>
      <c r="AZ3" s="6" t="s">
        <v>2</v>
      </c>
      <c r="BA3" s="6" t="s">
        <v>14</v>
      </c>
      <c r="BB3" s="6" t="s">
        <v>2</v>
      </c>
      <c r="BC3" s="6" t="s">
        <v>14</v>
      </c>
    </row>
    <row r="4" spans="1:55" ht="15.75" customHeight="1">
      <c r="A4" s="5">
        <v>1</v>
      </c>
      <c r="B4" s="6" t="s">
        <v>30</v>
      </c>
      <c r="C4" s="6" t="s">
        <v>1175</v>
      </c>
      <c r="D4" s="6" t="s">
        <v>30</v>
      </c>
      <c r="E4" s="6" t="s">
        <v>1176</v>
      </c>
      <c r="F4" s="6" t="s">
        <v>30</v>
      </c>
      <c r="G4" s="6" t="s">
        <v>1177</v>
      </c>
      <c r="H4" s="6" t="s">
        <v>30</v>
      </c>
      <c r="I4" s="6" t="s">
        <v>1178</v>
      </c>
      <c r="J4" s="6" t="s">
        <v>30</v>
      </c>
      <c r="K4" s="6" t="s">
        <v>1179</v>
      </c>
      <c r="L4" s="6" t="s">
        <v>30</v>
      </c>
      <c r="M4" s="6" t="s">
        <v>1180</v>
      </c>
      <c r="N4" s="6" t="s">
        <v>30</v>
      </c>
      <c r="O4" s="6" t="s">
        <v>1181</v>
      </c>
      <c r="P4" s="6" t="s">
        <v>30</v>
      </c>
      <c r="Q4" s="6" t="s">
        <v>1182</v>
      </c>
      <c r="R4" s="6" t="s">
        <v>30</v>
      </c>
      <c r="S4" s="6" t="s">
        <v>1183</v>
      </c>
      <c r="T4" s="6" t="s">
        <v>30</v>
      </c>
      <c r="U4" s="6" t="s">
        <v>1184</v>
      </c>
      <c r="V4" s="6" t="s">
        <v>30</v>
      </c>
      <c r="W4" s="6" t="s">
        <v>1185</v>
      </c>
      <c r="X4" s="6" t="s">
        <v>30</v>
      </c>
      <c r="Y4" s="6" t="s">
        <v>1186</v>
      </c>
      <c r="Z4" s="6" t="s">
        <v>30</v>
      </c>
      <c r="AA4" s="6" t="s">
        <v>1187</v>
      </c>
      <c r="AB4" s="6" t="s">
        <v>30</v>
      </c>
      <c r="AC4" s="6" t="s">
        <v>1188</v>
      </c>
      <c r="AD4" s="8" t="s">
        <v>30</v>
      </c>
      <c r="AE4" s="6" t="s">
        <v>1189</v>
      </c>
      <c r="AF4" s="6" t="s">
        <v>30</v>
      </c>
      <c r="AG4" s="6" t="s">
        <v>1190</v>
      </c>
      <c r="AH4" s="6" t="s">
        <v>30</v>
      </c>
      <c r="AI4" s="6" t="s">
        <v>1191</v>
      </c>
      <c r="AJ4" s="6" t="s">
        <v>30</v>
      </c>
      <c r="AK4" s="6" t="s">
        <v>1192</v>
      </c>
      <c r="AL4" s="6" t="s">
        <v>30</v>
      </c>
      <c r="AM4" s="6" t="s">
        <v>1193</v>
      </c>
      <c r="AN4" s="6" t="s">
        <v>30</v>
      </c>
      <c r="AO4" s="6" t="s">
        <v>1194</v>
      </c>
      <c r="AP4" s="6" t="s">
        <v>30</v>
      </c>
      <c r="AQ4" s="6" t="s">
        <v>1195</v>
      </c>
      <c r="AR4" s="6" t="s">
        <v>30</v>
      </c>
      <c r="AS4" s="6" t="s">
        <v>1196</v>
      </c>
      <c r="AT4" s="6" t="s">
        <v>30</v>
      </c>
      <c r="AU4" s="6" t="s">
        <v>1197</v>
      </c>
      <c r="AV4" s="6" t="s">
        <v>30</v>
      </c>
      <c r="AW4" s="6" t="s">
        <v>1198</v>
      </c>
      <c r="AX4" s="6" t="s">
        <v>30</v>
      </c>
      <c r="AY4" s="6" t="s">
        <v>1199</v>
      </c>
      <c r="AZ4" s="6" t="s">
        <v>30</v>
      </c>
      <c r="BA4" s="6" t="s">
        <v>1200</v>
      </c>
      <c r="BB4" s="6"/>
      <c r="BC4" s="6" t="s">
        <v>1201</v>
      </c>
    </row>
    <row r="5" spans="1:55" ht="15.75" customHeight="1">
      <c r="A5" s="5">
        <v>2</v>
      </c>
      <c r="B5" s="6" t="s">
        <v>69</v>
      </c>
      <c r="C5" s="6" t="s">
        <v>1202</v>
      </c>
      <c r="D5" s="6" t="s">
        <v>69</v>
      </c>
      <c r="E5" s="6" t="s">
        <v>1203</v>
      </c>
      <c r="F5" s="6" t="s">
        <v>69</v>
      </c>
      <c r="G5" s="6" t="s">
        <v>1204</v>
      </c>
      <c r="H5" s="6" t="s">
        <v>69</v>
      </c>
      <c r="I5" s="6" t="s">
        <v>1205</v>
      </c>
      <c r="J5" s="6" t="s">
        <v>69</v>
      </c>
      <c r="K5" s="6" t="s">
        <v>1206</v>
      </c>
      <c r="L5" s="6" t="s">
        <v>69</v>
      </c>
      <c r="M5" s="6" t="s">
        <v>1207</v>
      </c>
      <c r="N5" s="6" t="s">
        <v>59</v>
      </c>
      <c r="O5" s="6" t="s">
        <v>1208</v>
      </c>
      <c r="P5" s="6" t="s">
        <v>59</v>
      </c>
      <c r="Q5" s="6" t="s">
        <v>1209</v>
      </c>
      <c r="R5" s="6" t="s">
        <v>59</v>
      </c>
      <c r="S5" s="6" t="s">
        <v>1210</v>
      </c>
      <c r="T5" s="6" t="s">
        <v>59</v>
      </c>
      <c r="U5" s="6" t="s">
        <v>1211</v>
      </c>
      <c r="V5" s="6" t="s">
        <v>59</v>
      </c>
      <c r="W5" s="6" t="s">
        <v>1212</v>
      </c>
      <c r="X5" s="6" t="s">
        <v>59</v>
      </c>
      <c r="Y5" s="6" t="s">
        <v>1213</v>
      </c>
      <c r="Z5" s="6" t="s">
        <v>59</v>
      </c>
      <c r="AA5" s="6" t="s">
        <v>1214</v>
      </c>
      <c r="AB5" s="6" t="s">
        <v>59</v>
      </c>
      <c r="AC5" s="6" t="s">
        <v>1215</v>
      </c>
      <c r="AD5" s="8" t="s">
        <v>59</v>
      </c>
      <c r="AE5" s="6" t="s">
        <v>1216</v>
      </c>
      <c r="AF5" s="6" t="s">
        <v>59</v>
      </c>
      <c r="AG5" s="6" t="s">
        <v>1217</v>
      </c>
      <c r="AH5" s="6" t="s">
        <v>59</v>
      </c>
      <c r="AI5" s="6" t="s">
        <v>1218</v>
      </c>
      <c r="AJ5" s="6" t="s">
        <v>59</v>
      </c>
      <c r="AK5" s="6" t="s">
        <v>1219</v>
      </c>
      <c r="AL5" s="6" t="s">
        <v>69</v>
      </c>
      <c r="AM5" s="6" t="s">
        <v>1220</v>
      </c>
      <c r="AN5" s="6" t="s">
        <v>69</v>
      </c>
      <c r="AO5" s="6" t="s">
        <v>1221</v>
      </c>
      <c r="AP5" s="6" t="s">
        <v>69</v>
      </c>
      <c r="AQ5" s="6" t="s">
        <v>1222</v>
      </c>
      <c r="AR5" s="6" t="s">
        <v>59</v>
      </c>
      <c r="AS5" s="6" t="s">
        <v>1223</v>
      </c>
      <c r="AT5" s="6" t="s">
        <v>59</v>
      </c>
      <c r="AU5" s="6" t="s">
        <v>1224</v>
      </c>
      <c r="AV5" s="6" t="s">
        <v>59</v>
      </c>
      <c r="AW5" s="6" t="s">
        <v>1225</v>
      </c>
      <c r="AX5" s="6" t="s">
        <v>69</v>
      </c>
      <c r="AY5" s="6" t="s">
        <v>1226</v>
      </c>
      <c r="AZ5" s="6" t="s">
        <v>59</v>
      </c>
      <c r="BA5" s="6" t="s">
        <v>1227</v>
      </c>
      <c r="BB5" s="6" t="s">
        <v>69</v>
      </c>
      <c r="BC5" s="6" t="s">
        <v>1228</v>
      </c>
    </row>
    <row r="6" spans="1:55" ht="15.75" customHeight="1">
      <c r="A6" s="5">
        <v>3</v>
      </c>
      <c r="B6" s="6" t="s">
        <v>69</v>
      </c>
      <c r="C6" s="6" t="s">
        <v>1229</v>
      </c>
      <c r="D6" s="6" t="s">
        <v>69</v>
      </c>
      <c r="E6" s="6" t="s">
        <v>1230</v>
      </c>
      <c r="F6" s="6" t="s">
        <v>69</v>
      </c>
      <c r="G6" s="6" t="s">
        <v>1231</v>
      </c>
      <c r="H6" s="6" t="s">
        <v>69</v>
      </c>
      <c r="I6" s="6" t="s">
        <v>1232</v>
      </c>
      <c r="J6" s="6" t="s">
        <v>69</v>
      </c>
      <c r="K6" s="6" t="s">
        <v>1233</v>
      </c>
      <c r="L6" s="6" t="s">
        <v>69</v>
      </c>
      <c r="M6" s="6" t="s">
        <v>244</v>
      </c>
      <c r="N6" s="6" t="s">
        <v>69</v>
      </c>
      <c r="O6" s="6" t="s">
        <v>1234</v>
      </c>
      <c r="P6" s="6" t="s">
        <v>69</v>
      </c>
      <c r="Q6" s="6" t="s">
        <v>1235</v>
      </c>
      <c r="R6" s="6" t="s">
        <v>69</v>
      </c>
      <c r="S6" s="6" t="s">
        <v>1236</v>
      </c>
      <c r="T6" s="6" t="s">
        <v>59</v>
      </c>
      <c r="U6" s="6" t="s">
        <v>1237</v>
      </c>
      <c r="V6" s="6" t="s">
        <v>59</v>
      </c>
      <c r="W6" s="6" t="s">
        <v>1238</v>
      </c>
      <c r="X6" s="6" t="s">
        <v>59</v>
      </c>
      <c r="Y6" s="6" t="s">
        <v>1239</v>
      </c>
      <c r="Z6" s="6" t="s">
        <v>59</v>
      </c>
      <c r="AA6" s="6" t="s">
        <v>1240</v>
      </c>
      <c r="AB6" s="6" t="s">
        <v>59</v>
      </c>
      <c r="AC6" s="6" t="s">
        <v>1241</v>
      </c>
      <c r="AD6" s="8" t="s">
        <v>59</v>
      </c>
      <c r="AE6" s="6" t="s">
        <v>1242</v>
      </c>
      <c r="AF6" s="6" t="s">
        <v>59</v>
      </c>
      <c r="AG6" s="6" t="s">
        <v>1243</v>
      </c>
      <c r="AH6" s="6" t="s">
        <v>59</v>
      </c>
      <c r="AI6" s="6" t="s">
        <v>1244</v>
      </c>
      <c r="AJ6" s="6" t="s">
        <v>59</v>
      </c>
      <c r="AK6" s="6" t="s">
        <v>1245</v>
      </c>
      <c r="AL6" s="6" t="s">
        <v>69</v>
      </c>
      <c r="AM6" s="6" t="s">
        <v>1246</v>
      </c>
      <c r="AN6" s="6" t="s">
        <v>69</v>
      </c>
      <c r="AO6" s="6" t="s">
        <v>1247</v>
      </c>
      <c r="AP6" s="6" t="s">
        <v>69</v>
      </c>
      <c r="AQ6" s="6" t="s">
        <v>1248</v>
      </c>
      <c r="AR6" s="6" t="s">
        <v>59</v>
      </c>
      <c r="AS6" s="6" t="s">
        <v>1249</v>
      </c>
      <c r="AT6" s="6" t="s">
        <v>59</v>
      </c>
      <c r="AU6" s="6" t="s">
        <v>1250</v>
      </c>
      <c r="AV6" s="6" t="s">
        <v>59</v>
      </c>
      <c r="AW6" s="6" t="s">
        <v>1251</v>
      </c>
      <c r="AX6" s="6" t="s">
        <v>69</v>
      </c>
      <c r="AY6" s="6" t="s">
        <v>1252</v>
      </c>
      <c r="AZ6" s="6" t="s">
        <v>69</v>
      </c>
      <c r="BA6" s="6" t="s">
        <v>1253</v>
      </c>
      <c r="BB6" s="6" t="s">
        <v>69</v>
      </c>
      <c r="BC6" s="6" t="s">
        <v>1254</v>
      </c>
    </row>
    <row r="7" spans="1:55" ht="15.75" customHeight="1">
      <c r="A7" s="5">
        <v>4</v>
      </c>
      <c r="B7" s="6" t="s">
        <v>69</v>
      </c>
      <c r="C7" s="6" t="s">
        <v>1255</v>
      </c>
      <c r="D7" s="6" t="s">
        <v>69</v>
      </c>
      <c r="E7" s="6" t="s">
        <v>1256</v>
      </c>
      <c r="F7" s="6" t="s">
        <v>69</v>
      </c>
      <c r="G7" s="6" t="s">
        <v>1257</v>
      </c>
      <c r="H7" s="6" t="s">
        <v>59</v>
      </c>
      <c r="I7" s="6" t="s">
        <v>1258</v>
      </c>
      <c r="J7" s="6" t="s">
        <v>59</v>
      </c>
      <c r="K7" s="6" t="s">
        <v>1259</v>
      </c>
      <c r="L7" s="6" t="s">
        <v>59</v>
      </c>
      <c r="M7" s="6" t="s">
        <v>1260</v>
      </c>
      <c r="N7" s="6" t="s">
        <v>59</v>
      </c>
      <c r="O7" s="6" t="s">
        <v>1261</v>
      </c>
      <c r="P7" s="6" t="s">
        <v>59</v>
      </c>
      <c r="Q7" s="6" t="s">
        <v>1262</v>
      </c>
      <c r="R7" s="6" t="s">
        <v>59</v>
      </c>
      <c r="S7" s="6" t="s">
        <v>1263</v>
      </c>
      <c r="T7" s="6" t="s">
        <v>59</v>
      </c>
      <c r="U7" s="6" t="s">
        <v>1264</v>
      </c>
      <c r="V7" s="6" t="s">
        <v>59</v>
      </c>
      <c r="W7" s="6" t="s">
        <v>1265</v>
      </c>
      <c r="X7" s="6" t="s">
        <v>59</v>
      </c>
      <c r="Y7" s="6" t="s">
        <v>1266</v>
      </c>
      <c r="Z7" s="6" t="s">
        <v>59</v>
      </c>
      <c r="AA7" s="6" t="s">
        <v>1267</v>
      </c>
      <c r="AB7" s="6" t="s">
        <v>59</v>
      </c>
      <c r="AC7" s="6" t="s">
        <v>1268</v>
      </c>
      <c r="AD7" s="8" t="s">
        <v>59</v>
      </c>
      <c r="AE7" s="6" t="s">
        <v>1269</v>
      </c>
      <c r="AF7" s="6" t="s">
        <v>59</v>
      </c>
      <c r="AG7" s="6" t="s">
        <v>1270</v>
      </c>
      <c r="AH7" s="6" t="s">
        <v>59</v>
      </c>
      <c r="AI7" s="6" t="s">
        <v>1271</v>
      </c>
      <c r="AJ7" s="6" t="s">
        <v>59</v>
      </c>
      <c r="AK7" s="6" t="s">
        <v>1272</v>
      </c>
      <c r="AL7" s="6" t="s">
        <v>69</v>
      </c>
      <c r="AM7" s="6" t="s">
        <v>1273</v>
      </c>
      <c r="AN7" s="6" t="s">
        <v>69</v>
      </c>
      <c r="AO7" s="6" t="s">
        <v>1274</v>
      </c>
      <c r="AP7" s="6" t="s">
        <v>69</v>
      </c>
      <c r="AQ7" s="6" t="s">
        <v>1275</v>
      </c>
      <c r="AR7" s="6" t="s">
        <v>59</v>
      </c>
      <c r="AS7" s="6" t="s">
        <v>1276</v>
      </c>
      <c r="AT7" s="6" t="s">
        <v>59</v>
      </c>
      <c r="AU7" s="6" t="s">
        <v>1277</v>
      </c>
      <c r="AV7" s="6" t="s">
        <v>59</v>
      </c>
      <c r="AW7" s="6" t="s">
        <v>1278</v>
      </c>
      <c r="AX7" s="6" t="s">
        <v>59</v>
      </c>
      <c r="AY7" s="6" t="s">
        <v>1279</v>
      </c>
      <c r="AZ7" s="6" t="s">
        <v>59</v>
      </c>
      <c r="BA7" s="6" t="s">
        <v>1280</v>
      </c>
      <c r="BB7" s="6" t="s">
        <v>59</v>
      </c>
      <c r="BC7" s="6" t="s">
        <v>1281</v>
      </c>
    </row>
    <row r="8" spans="1:55" ht="15.75" customHeight="1">
      <c r="A8" s="5">
        <v>5</v>
      </c>
      <c r="B8" s="6" t="s">
        <v>30</v>
      </c>
      <c r="C8" s="6" t="s">
        <v>1282</v>
      </c>
      <c r="D8" s="6" t="s">
        <v>30</v>
      </c>
      <c r="E8" s="6" t="s">
        <v>1283</v>
      </c>
      <c r="F8" s="6" t="s">
        <v>69</v>
      </c>
      <c r="G8" s="6" t="s">
        <v>1284</v>
      </c>
      <c r="H8" s="6" t="s">
        <v>159</v>
      </c>
      <c r="I8" s="6" t="s">
        <v>1285</v>
      </c>
      <c r="J8" s="6" t="s">
        <v>159</v>
      </c>
      <c r="K8" s="6" t="s">
        <v>1286</v>
      </c>
      <c r="L8" s="6" t="s">
        <v>159</v>
      </c>
      <c r="M8" s="6" t="s">
        <v>1287</v>
      </c>
      <c r="N8" s="6" t="s">
        <v>69</v>
      </c>
      <c r="O8" s="6" t="s">
        <v>1288</v>
      </c>
      <c r="P8" s="6" t="s">
        <v>69</v>
      </c>
      <c r="Q8" s="6" t="s">
        <v>1289</v>
      </c>
      <c r="R8" s="6" t="s">
        <v>69</v>
      </c>
      <c r="S8" s="6" t="s">
        <v>1290</v>
      </c>
      <c r="T8" s="6" t="s">
        <v>69</v>
      </c>
      <c r="U8" s="6" t="s">
        <v>1291</v>
      </c>
      <c r="V8" s="6" t="s">
        <v>69</v>
      </c>
      <c r="W8" s="6" t="s">
        <v>1292</v>
      </c>
      <c r="X8" s="6" t="s">
        <v>69</v>
      </c>
      <c r="Y8" s="6" t="s">
        <v>1293</v>
      </c>
      <c r="Z8" s="6" t="s">
        <v>69</v>
      </c>
      <c r="AA8" s="6" t="s">
        <v>1294</v>
      </c>
      <c r="AB8" s="6" t="s">
        <v>69</v>
      </c>
      <c r="AC8" s="6" t="s">
        <v>1295</v>
      </c>
      <c r="AD8" s="8" t="s">
        <v>69</v>
      </c>
      <c r="AE8" s="6" t="s">
        <v>1296</v>
      </c>
      <c r="AF8" s="6" t="s">
        <v>69</v>
      </c>
      <c r="AG8" s="6" t="s">
        <v>1297</v>
      </c>
      <c r="AH8" s="6" t="s">
        <v>69</v>
      </c>
      <c r="AI8" s="6" t="s">
        <v>1298</v>
      </c>
      <c r="AJ8" s="6" t="s">
        <v>69</v>
      </c>
      <c r="AK8" s="6" t="s">
        <v>1299</v>
      </c>
      <c r="AL8" s="6" t="s">
        <v>30</v>
      </c>
      <c r="AM8" s="6" t="s">
        <v>1300</v>
      </c>
      <c r="AN8" s="6" t="s">
        <v>30</v>
      </c>
      <c r="AO8" s="6" t="s">
        <v>1301</v>
      </c>
      <c r="AP8" s="6" t="s">
        <v>30</v>
      </c>
      <c r="AQ8" s="6" t="s">
        <v>1302</v>
      </c>
      <c r="AR8" s="6" t="s">
        <v>69</v>
      </c>
      <c r="AS8" s="6" t="s">
        <v>1303</v>
      </c>
      <c r="AT8" s="6" t="s">
        <v>69</v>
      </c>
      <c r="AU8" s="6" t="s">
        <v>1304</v>
      </c>
      <c r="AV8" s="6" t="s">
        <v>69</v>
      </c>
      <c r="AW8" s="6" t="s">
        <v>1305</v>
      </c>
      <c r="AX8" s="6" t="s">
        <v>30</v>
      </c>
      <c r="AY8" s="6" t="s">
        <v>1306</v>
      </c>
      <c r="AZ8" s="6" t="s">
        <v>30</v>
      </c>
      <c r="BA8" s="6" t="s">
        <v>1307</v>
      </c>
      <c r="BB8" s="6" t="s">
        <v>69</v>
      </c>
      <c r="BC8" s="6" t="s">
        <v>1308</v>
      </c>
    </row>
    <row r="9" spans="1:55" ht="15.75" customHeight="1">
      <c r="A9" s="5">
        <v>6</v>
      </c>
      <c r="B9" s="6" t="s">
        <v>69</v>
      </c>
      <c r="C9" s="6" t="s">
        <v>1309</v>
      </c>
      <c r="D9" s="6" t="s">
        <v>69</v>
      </c>
      <c r="E9" s="6" t="s">
        <v>1310</v>
      </c>
      <c r="F9" s="6" t="s">
        <v>69</v>
      </c>
      <c r="G9" s="6" t="s">
        <v>1311</v>
      </c>
      <c r="H9" s="6" t="s">
        <v>69</v>
      </c>
      <c r="I9" s="6" t="s">
        <v>1312</v>
      </c>
      <c r="J9" s="6" t="s">
        <v>69</v>
      </c>
      <c r="K9" s="6" t="s">
        <v>1313</v>
      </c>
      <c r="L9" s="6" t="s">
        <v>69</v>
      </c>
      <c r="M9" s="6" t="s">
        <v>1287</v>
      </c>
      <c r="N9" s="6" t="s">
        <v>69</v>
      </c>
      <c r="O9" s="6" t="s">
        <v>1314</v>
      </c>
      <c r="P9" s="6" t="s">
        <v>69</v>
      </c>
      <c r="Q9" s="6" t="s">
        <v>1315</v>
      </c>
      <c r="R9" s="6" t="s">
        <v>69</v>
      </c>
      <c r="S9" s="6" t="s">
        <v>1316</v>
      </c>
      <c r="T9" s="6" t="s">
        <v>69</v>
      </c>
      <c r="U9" s="6" t="s">
        <v>1317</v>
      </c>
      <c r="V9" s="6" t="s">
        <v>69</v>
      </c>
      <c r="W9" s="6" t="s">
        <v>1318</v>
      </c>
      <c r="X9" s="6" t="s">
        <v>69</v>
      </c>
      <c r="Y9" s="6" t="s">
        <v>1319</v>
      </c>
      <c r="Z9" s="6" t="s">
        <v>69</v>
      </c>
      <c r="AA9" s="6" t="s">
        <v>1320</v>
      </c>
      <c r="AB9" s="6" t="s">
        <v>69</v>
      </c>
      <c r="AC9" s="6" t="s">
        <v>1321</v>
      </c>
      <c r="AD9" s="8" t="s">
        <v>69</v>
      </c>
      <c r="AE9" s="6" t="s">
        <v>1322</v>
      </c>
      <c r="AF9" s="6" t="s">
        <v>69</v>
      </c>
      <c r="AG9" s="6" t="s">
        <v>1323</v>
      </c>
      <c r="AH9" s="6" t="s">
        <v>69</v>
      </c>
      <c r="AI9" s="6" t="s">
        <v>1324</v>
      </c>
      <c r="AJ9" s="6" t="s">
        <v>69</v>
      </c>
      <c r="AK9" s="6" t="s">
        <v>1325</v>
      </c>
      <c r="AL9" s="6" t="s">
        <v>69</v>
      </c>
      <c r="AM9" s="6" t="s">
        <v>1326</v>
      </c>
      <c r="AN9" s="6" t="s">
        <v>69</v>
      </c>
      <c r="AO9" s="6" t="s">
        <v>1327</v>
      </c>
      <c r="AP9" s="6" t="s">
        <v>69</v>
      </c>
      <c r="AQ9" s="6" t="s">
        <v>1328</v>
      </c>
      <c r="AR9" s="6" t="s">
        <v>69</v>
      </c>
      <c r="AS9" s="6" t="s">
        <v>1329</v>
      </c>
      <c r="AT9" s="6" t="s">
        <v>69</v>
      </c>
      <c r="AU9" s="6" t="s">
        <v>1330</v>
      </c>
      <c r="AV9" s="6" t="s">
        <v>69</v>
      </c>
      <c r="AW9" s="6" t="s">
        <v>1331</v>
      </c>
      <c r="AX9" s="6" t="s">
        <v>159</v>
      </c>
      <c r="AY9" s="6" t="s">
        <v>1332</v>
      </c>
      <c r="AZ9" s="6" t="s">
        <v>30</v>
      </c>
      <c r="BA9" s="6" t="s">
        <v>1333</v>
      </c>
      <c r="BB9" s="6" t="s">
        <v>159</v>
      </c>
      <c r="BC9" s="6" t="s">
        <v>1334</v>
      </c>
    </row>
    <row r="10" spans="1:55" ht="15.75" customHeight="1">
      <c r="A10" s="5">
        <v>7</v>
      </c>
      <c r="B10" s="6" t="s">
        <v>196</v>
      </c>
      <c r="C10" s="6" t="s">
        <v>1335</v>
      </c>
      <c r="D10" s="6" t="s">
        <v>196</v>
      </c>
      <c r="E10" s="6" t="s">
        <v>1336</v>
      </c>
      <c r="F10" s="6" t="s">
        <v>196</v>
      </c>
      <c r="G10" s="6" t="s">
        <v>1337</v>
      </c>
      <c r="H10" s="6" t="s">
        <v>209</v>
      </c>
      <c r="I10" s="6" t="s">
        <v>1338</v>
      </c>
      <c r="J10" s="6" t="s">
        <v>209</v>
      </c>
      <c r="K10" s="6" t="s">
        <v>1339</v>
      </c>
      <c r="L10" s="6" t="s">
        <v>209</v>
      </c>
      <c r="M10" s="6" t="s">
        <v>1340</v>
      </c>
      <c r="N10" s="6" t="s">
        <v>159</v>
      </c>
      <c r="O10" s="6" t="s">
        <v>1341</v>
      </c>
      <c r="P10" s="6" t="s">
        <v>196</v>
      </c>
      <c r="Q10" s="6" t="s">
        <v>1342</v>
      </c>
      <c r="R10" s="6" t="s">
        <v>196</v>
      </c>
      <c r="S10" s="6" t="s">
        <v>1343</v>
      </c>
      <c r="T10" s="6" t="s">
        <v>159</v>
      </c>
      <c r="U10" s="6" t="s">
        <v>1344</v>
      </c>
      <c r="V10" s="6" t="s">
        <v>159</v>
      </c>
      <c r="W10" s="6" t="s">
        <v>1345</v>
      </c>
      <c r="X10" s="6" t="s">
        <v>159</v>
      </c>
      <c r="Y10" s="6" t="s">
        <v>1346</v>
      </c>
      <c r="Z10" s="6" t="s">
        <v>159</v>
      </c>
      <c r="AA10" s="6" t="s">
        <v>1347</v>
      </c>
      <c r="AB10" s="6" t="s">
        <v>159</v>
      </c>
      <c r="AC10" s="6" t="s">
        <v>1348</v>
      </c>
      <c r="AD10" s="8" t="s">
        <v>159</v>
      </c>
      <c r="AE10" s="6" t="s">
        <v>1349</v>
      </c>
      <c r="AF10" s="6" t="s">
        <v>159</v>
      </c>
      <c r="AG10" s="6" t="s">
        <v>1350</v>
      </c>
      <c r="AH10" s="6" t="s">
        <v>159</v>
      </c>
      <c r="AI10" s="6" t="s">
        <v>1351</v>
      </c>
      <c r="AJ10" s="6" t="s">
        <v>159</v>
      </c>
      <c r="AK10" s="6" t="s">
        <v>1352</v>
      </c>
      <c r="AL10" s="6" t="s">
        <v>196</v>
      </c>
      <c r="AM10" s="6" t="s">
        <v>1353</v>
      </c>
      <c r="AN10" s="6" t="s">
        <v>196</v>
      </c>
      <c r="AO10" s="6" t="s">
        <v>1354</v>
      </c>
      <c r="AP10" s="6" t="s">
        <v>196</v>
      </c>
      <c r="AQ10" s="6" t="s">
        <v>1355</v>
      </c>
      <c r="AR10" s="6" t="s">
        <v>159</v>
      </c>
      <c r="AS10" s="6" t="s">
        <v>1356</v>
      </c>
      <c r="AT10" s="6" t="s">
        <v>159</v>
      </c>
      <c r="AU10" s="6" t="s">
        <v>1357</v>
      </c>
      <c r="AV10" s="6" t="s">
        <v>159</v>
      </c>
      <c r="AW10" s="6" t="s">
        <v>1358</v>
      </c>
      <c r="AX10" s="6" t="s">
        <v>196</v>
      </c>
      <c r="AY10" s="6" t="s">
        <v>1359</v>
      </c>
      <c r="AZ10" s="6" t="s">
        <v>196</v>
      </c>
      <c r="BA10" s="6" t="s">
        <v>1360</v>
      </c>
      <c r="BB10" s="6" t="s">
        <v>196</v>
      </c>
      <c r="BC10" s="6" t="s">
        <v>1361</v>
      </c>
    </row>
    <row r="11" spans="1:55" ht="15.75" customHeight="1">
      <c r="A11" s="5">
        <v>8</v>
      </c>
      <c r="B11" s="6" t="s">
        <v>159</v>
      </c>
      <c r="C11" s="6" t="s">
        <v>1362</v>
      </c>
      <c r="D11" s="6" t="s">
        <v>159</v>
      </c>
      <c r="E11" s="6" t="s">
        <v>1363</v>
      </c>
      <c r="F11" s="6" t="s">
        <v>159</v>
      </c>
      <c r="G11" s="6" t="s">
        <v>1364</v>
      </c>
      <c r="H11" s="6" t="s">
        <v>30</v>
      </c>
      <c r="I11" s="6" t="s">
        <v>1365</v>
      </c>
      <c r="J11" s="6" t="s">
        <v>30</v>
      </c>
      <c r="K11" s="6" t="s">
        <v>1366</v>
      </c>
      <c r="L11" s="6" t="s">
        <v>30</v>
      </c>
      <c r="M11" s="6" t="s">
        <v>1367</v>
      </c>
      <c r="N11" s="6" t="s">
        <v>30</v>
      </c>
      <c r="O11" s="6" t="s">
        <v>1368</v>
      </c>
      <c r="P11" s="6" t="s">
        <v>69</v>
      </c>
      <c r="Q11" s="6" t="s">
        <v>1369</v>
      </c>
      <c r="R11" s="6" t="s">
        <v>30</v>
      </c>
      <c r="S11" s="6" t="s">
        <v>1370</v>
      </c>
      <c r="T11" s="6" t="s">
        <v>69</v>
      </c>
      <c r="U11" s="6" t="s">
        <v>1371</v>
      </c>
      <c r="V11" s="6" t="s">
        <v>69</v>
      </c>
      <c r="W11" s="6" t="s">
        <v>1372</v>
      </c>
      <c r="X11" s="6" t="s">
        <v>69</v>
      </c>
      <c r="Y11" s="6" t="s">
        <v>1373</v>
      </c>
      <c r="Z11" s="6" t="s">
        <v>69</v>
      </c>
      <c r="AA11" s="6" t="s">
        <v>1374</v>
      </c>
      <c r="AB11" s="6" t="s">
        <v>69</v>
      </c>
      <c r="AC11" s="6" t="s">
        <v>1375</v>
      </c>
      <c r="AD11" s="8" t="s">
        <v>69</v>
      </c>
      <c r="AE11" s="6" t="s">
        <v>1376</v>
      </c>
      <c r="AF11" s="6" t="s">
        <v>69</v>
      </c>
      <c r="AG11" s="6" t="s">
        <v>1377</v>
      </c>
      <c r="AH11" s="6" t="s">
        <v>69</v>
      </c>
      <c r="AI11" s="6" t="s">
        <v>1378</v>
      </c>
      <c r="AJ11" s="6" t="s">
        <v>69</v>
      </c>
      <c r="AK11" s="6" t="s">
        <v>1379</v>
      </c>
      <c r="AL11" s="6" t="s">
        <v>159</v>
      </c>
      <c r="AM11" s="6" t="s">
        <v>1380</v>
      </c>
      <c r="AN11" s="6" t="s">
        <v>159</v>
      </c>
      <c r="AO11" s="6" t="s">
        <v>1381</v>
      </c>
      <c r="AP11" s="6" t="s">
        <v>159</v>
      </c>
      <c r="AQ11" s="6" t="s">
        <v>1382</v>
      </c>
      <c r="AR11" s="6" t="s">
        <v>69</v>
      </c>
      <c r="AS11" s="6" t="s">
        <v>1383</v>
      </c>
      <c r="AT11" s="6" t="s">
        <v>69</v>
      </c>
      <c r="AU11" s="6" t="s">
        <v>1384</v>
      </c>
      <c r="AV11" s="6" t="s">
        <v>69</v>
      </c>
      <c r="AW11" s="6" t="s">
        <v>1385</v>
      </c>
      <c r="AX11" s="6" t="s">
        <v>159</v>
      </c>
      <c r="AY11" s="6" t="s">
        <v>1386</v>
      </c>
      <c r="AZ11" s="6" t="s">
        <v>69</v>
      </c>
      <c r="BA11" s="6" t="s">
        <v>1387</v>
      </c>
      <c r="BB11" s="6" t="s">
        <v>30</v>
      </c>
      <c r="BC11" s="6" t="s">
        <v>1388</v>
      </c>
    </row>
    <row r="12" spans="1:55" ht="15.75" customHeight="1">
      <c r="A12" s="5">
        <v>9</v>
      </c>
      <c r="B12" s="6" t="s">
        <v>209</v>
      </c>
      <c r="C12" s="6" t="s">
        <v>1389</v>
      </c>
      <c r="D12" s="6" t="s">
        <v>209</v>
      </c>
      <c r="E12" s="6" t="s">
        <v>1390</v>
      </c>
      <c r="F12" s="6" t="s">
        <v>209</v>
      </c>
      <c r="G12" s="6" t="s">
        <v>1391</v>
      </c>
      <c r="H12" s="6" t="s">
        <v>209</v>
      </c>
      <c r="I12" s="6" t="s">
        <v>1392</v>
      </c>
      <c r="J12" s="6" t="s">
        <v>209</v>
      </c>
      <c r="K12" s="6" t="s">
        <v>1393</v>
      </c>
      <c r="L12" s="6" t="s">
        <v>209</v>
      </c>
      <c r="M12" s="6" t="s">
        <v>1394</v>
      </c>
      <c r="N12" s="6" t="s">
        <v>159</v>
      </c>
      <c r="O12" s="6" t="s">
        <v>1395</v>
      </c>
      <c r="P12" s="6" t="s">
        <v>159</v>
      </c>
      <c r="Q12" s="6" t="s">
        <v>1396</v>
      </c>
      <c r="R12" s="6" t="s">
        <v>196</v>
      </c>
      <c r="S12" s="6" t="s">
        <v>1397</v>
      </c>
      <c r="T12" s="6" t="s">
        <v>30</v>
      </c>
      <c r="U12" s="6" t="s">
        <v>1398</v>
      </c>
      <c r="V12" s="6" t="s">
        <v>30</v>
      </c>
      <c r="W12" s="6" t="s">
        <v>1399</v>
      </c>
      <c r="X12" s="6" t="s">
        <v>30</v>
      </c>
      <c r="Y12" s="6" t="s">
        <v>1400</v>
      </c>
      <c r="Z12" s="6" t="s">
        <v>30</v>
      </c>
      <c r="AA12" s="6" t="s">
        <v>1401</v>
      </c>
      <c r="AB12" s="6" t="s">
        <v>30</v>
      </c>
      <c r="AC12" s="6" t="s">
        <v>1402</v>
      </c>
      <c r="AD12" s="8" t="s">
        <v>30</v>
      </c>
      <c r="AE12" s="6" t="s">
        <v>1403</v>
      </c>
      <c r="AF12" s="6" t="s">
        <v>30</v>
      </c>
      <c r="AG12" s="6" t="s">
        <v>1404</v>
      </c>
      <c r="AH12" s="6" t="s">
        <v>30</v>
      </c>
      <c r="AI12" s="6" t="s">
        <v>1405</v>
      </c>
      <c r="AJ12" s="6" t="s">
        <v>159</v>
      </c>
      <c r="AK12" s="6" t="s">
        <v>1406</v>
      </c>
      <c r="AL12" s="6" t="s">
        <v>209</v>
      </c>
      <c r="AM12" s="6" t="s">
        <v>1407</v>
      </c>
      <c r="AN12" s="6" t="s">
        <v>209</v>
      </c>
      <c r="AO12" s="6" t="s">
        <v>1408</v>
      </c>
      <c r="AP12" s="6" t="s">
        <v>209</v>
      </c>
      <c r="AQ12" s="6" t="s">
        <v>1409</v>
      </c>
      <c r="AR12" s="6" t="s">
        <v>30</v>
      </c>
      <c r="AS12" s="6" t="s">
        <v>1410</v>
      </c>
      <c r="AT12" s="6" t="s">
        <v>30</v>
      </c>
      <c r="AU12" s="6" t="s">
        <v>1411</v>
      </c>
      <c r="AV12" s="6" t="s">
        <v>30</v>
      </c>
      <c r="AW12" s="6" t="s">
        <v>1412</v>
      </c>
      <c r="AX12" s="6" t="s">
        <v>30</v>
      </c>
      <c r="AY12" s="6" t="s">
        <v>1413</v>
      </c>
      <c r="AZ12" s="6" t="s">
        <v>159</v>
      </c>
      <c r="BA12" s="6" t="s">
        <v>1414</v>
      </c>
      <c r="BB12" s="6" t="s">
        <v>30</v>
      </c>
      <c r="BC12" s="6" t="s">
        <v>1415</v>
      </c>
    </row>
    <row r="13" spans="1:55" ht="15.75" customHeight="1">
      <c r="A13" s="5">
        <v>10</v>
      </c>
      <c r="B13" s="6" t="s">
        <v>252</v>
      </c>
      <c r="C13" s="6" t="s">
        <v>1416</v>
      </c>
      <c r="D13" s="6" t="s">
        <v>252</v>
      </c>
      <c r="E13" s="6" t="s">
        <v>1417</v>
      </c>
      <c r="F13" s="6" t="s">
        <v>252</v>
      </c>
      <c r="G13" s="6" t="s">
        <v>1418</v>
      </c>
      <c r="H13" s="6" t="s">
        <v>252</v>
      </c>
      <c r="I13" s="6" t="s">
        <v>1419</v>
      </c>
      <c r="J13" s="6" t="s">
        <v>252</v>
      </c>
      <c r="K13" s="6" t="s">
        <v>1420</v>
      </c>
      <c r="L13" s="6" t="s">
        <v>252</v>
      </c>
      <c r="M13" s="6" t="s">
        <v>1419</v>
      </c>
      <c r="N13" s="6" t="s">
        <v>209</v>
      </c>
      <c r="O13" s="6" t="s">
        <v>1421</v>
      </c>
      <c r="P13" s="6" t="s">
        <v>209</v>
      </c>
      <c r="Q13" s="6" t="s">
        <v>1422</v>
      </c>
      <c r="R13" s="6" t="s">
        <v>209</v>
      </c>
      <c r="S13" s="6" t="s">
        <v>1423</v>
      </c>
      <c r="T13" s="6" t="s">
        <v>209</v>
      </c>
      <c r="U13" s="6" t="s">
        <v>1424</v>
      </c>
      <c r="V13" s="6" t="s">
        <v>209</v>
      </c>
      <c r="W13" s="6" t="s">
        <v>1425</v>
      </c>
      <c r="X13" s="6" t="s">
        <v>209</v>
      </c>
      <c r="Y13" s="6" t="s">
        <v>1426</v>
      </c>
      <c r="Z13" s="6" t="s">
        <v>209</v>
      </c>
      <c r="AA13" s="6" t="s">
        <v>1427</v>
      </c>
      <c r="AB13" s="6" t="s">
        <v>209</v>
      </c>
      <c r="AC13" s="6" t="s">
        <v>1428</v>
      </c>
      <c r="AD13" s="8" t="s">
        <v>209</v>
      </c>
      <c r="AE13" s="6" t="s">
        <v>1429</v>
      </c>
      <c r="AF13" s="6" t="s">
        <v>209</v>
      </c>
      <c r="AG13" s="6" t="s">
        <v>1430</v>
      </c>
      <c r="AH13" s="6" t="s">
        <v>209</v>
      </c>
      <c r="AI13" s="6" t="s">
        <v>1431</v>
      </c>
      <c r="AJ13" s="6" t="s">
        <v>209</v>
      </c>
      <c r="AK13" s="6" t="s">
        <v>1432</v>
      </c>
      <c r="AL13" s="6" t="s">
        <v>252</v>
      </c>
      <c r="AM13" s="6" t="s">
        <v>1433</v>
      </c>
      <c r="AN13" s="6" t="s">
        <v>252</v>
      </c>
      <c r="AO13" s="6" t="s">
        <v>1434</v>
      </c>
      <c r="AP13" s="6" t="s">
        <v>252</v>
      </c>
      <c r="AQ13" s="6" t="s">
        <v>1435</v>
      </c>
      <c r="AR13" s="6" t="s">
        <v>209</v>
      </c>
      <c r="AS13" s="6" t="s">
        <v>1436</v>
      </c>
      <c r="AT13" s="6" t="s">
        <v>209</v>
      </c>
      <c r="AU13" s="6" t="s">
        <v>1437</v>
      </c>
      <c r="AV13" s="6" t="s">
        <v>209</v>
      </c>
      <c r="AW13" s="6" t="s">
        <v>1438</v>
      </c>
      <c r="AX13" s="6" t="s">
        <v>209</v>
      </c>
      <c r="AY13" s="6" t="s">
        <v>1439</v>
      </c>
      <c r="AZ13" s="6" t="s">
        <v>209</v>
      </c>
      <c r="BA13" s="6" t="s">
        <v>1440</v>
      </c>
      <c r="BB13" s="6" t="s">
        <v>209</v>
      </c>
      <c r="BC13" s="6" t="s">
        <v>1441</v>
      </c>
    </row>
    <row r="14" spans="1:55" ht="15.75" customHeight="1">
      <c r="A14" s="9">
        <v>11</v>
      </c>
      <c r="B14" s="6" t="s">
        <v>309</v>
      </c>
      <c r="C14" s="6" t="s">
        <v>1442</v>
      </c>
      <c r="D14" s="6" t="s">
        <v>309</v>
      </c>
      <c r="E14" s="6" t="s">
        <v>1443</v>
      </c>
      <c r="F14" s="9">
        <v>11</v>
      </c>
      <c r="G14" s="6" t="s">
        <v>1444</v>
      </c>
      <c r="H14" s="6" t="s">
        <v>309</v>
      </c>
      <c r="I14" s="6" t="s">
        <v>1445</v>
      </c>
      <c r="J14" s="6" t="s">
        <v>309</v>
      </c>
      <c r="K14" s="6" t="s">
        <v>1446</v>
      </c>
      <c r="L14" s="6" t="s">
        <v>309</v>
      </c>
      <c r="M14" s="6" t="s">
        <v>1447</v>
      </c>
      <c r="N14" s="6" t="s">
        <v>309</v>
      </c>
      <c r="O14" s="6" t="s">
        <v>1448</v>
      </c>
      <c r="P14" s="6" t="s">
        <v>280</v>
      </c>
      <c r="Q14" s="6" t="s">
        <v>1449</v>
      </c>
      <c r="R14" s="6" t="s">
        <v>309</v>
      </c>
      <c r="S14" s="6" t="s">
        <v>1450</v>
      </c>
      <c r="T14" s="6" t="s">
        <v>252</v>
      </c>
      <c r="U14" s="6" t="s">
        <v>1451</v>
      </c>
      <c r="V14" s="6" t="s">
        <v>252</v>
      </c>
      <c r="W14" s="6" t="s">
        <v>1452</v>
      </c>
      <c r="X14" s="6" t="s">
        <v>252</v>
      </c>
      <c r="Y14" s="6" t="s">
        <v>1453</v>
      </c>
      <c r="Z14" s="6" t="s">
        <v>252</v>
      </c>
      <c r="AA14" s="6" t="s">
        <v>1454</v>
      </c>
      <c r="AB14" s="6" t="s">
        <v>252</v>
      </c>
      <c r="AC14" s="6" t="s">
        <v>1455</v>
      </c>
      <c r="AD14" s="8" t="s">
        <v>252</v>
      </c>
      <c r="AE14" s="6" t="s">
        <v>1456</v>
      </c>
      <c r="AF14" s="6" t="s">
        <v>252</v>
      </c>
      <c r="AG14" s="6" t="s">
        <v>1457</v>
      </c>
      <c r="AH14" s="6" t="s">
        <v>252</v>
      </c>
      <c r="AI14" s="6" t="s">
        <v>1458</v>
      </c>
      <c r="AJ14" s="6" t="s">
        <v>252</v>
      </c>
      <c r="AK14" s="6" t="s">
        <v>1459</v>
      </c>
      <c r="AL14" s="6" t="s">
        <v>309</v>
      </c>
      <c r="AM14" s="6" t="s">
        <v>1460</v>
      </c>
      <c r="AN14" s="6" t="s">
        <v>309</v>
      </c>
      <c r="AO14" s="6" t="s">
        <v>1461</v>
      </c>
      <c r="AP14" s="6" t="s">
        <v>309</v>
      </c>
      <c r="AQ14" s="6" t="s">
        <v>1462</v>
      </c>
      <c r="AR14" s="6" t="s">
        <v>252</v>
      </c>
      <c r="AS14" s="6" t="s">
        <v>1463</v>
      </c>
      <c r="AT14" s="6" t="s">
        <v>252</v>
      </c>
      <c r="AU14" s="6" t="s">
        <v>1464</v>
      </c>
      <c r="AV14" s="6" t="s">
        <v>252</v>
      </c>
      <c r="AW14" s="6" t="s">
        <v>1465</v>
      </c>
      <c r="AX14" s="6" t="s">
        <v>252</v>
      </c>
      <c r="AY14" s="6" t="s">
        <v>1466</v>
      </c>
      <c r="AZ14" s="6" t="s">
        <v>280</v>
      </c>
      <c r="BA14" s="6" t="s">
        <v>1467</v>
      </c>
      <c r="BB14" s="6" t="s">
        <v>309</v>
      </c>
      <c r="BC14" s="6" t="s">
        <v>1468</v>
      </c>
    </row>
    <row r="15" spans="1:55" ht="15.75" customHeight="1">
      <c r="A15" s="5">
        <v>12</v>
      </c>
      <c r="B15" s="6" t="s">
        <v>252</v>
      </c>
      <c r="C15" s="6" t="s">
        <v>1469</v>
      </c>
      <c r="D15" s="6" t="s">
        <v>252</v>
      </c>
      <c r="E15" s="6" t="s">
        <v>1470</v>
      </c>
      <c r="F15" s="6" t="s">
        <v>252</v>
      </c>
      <c r="G15" s="6" t="s">
        <v>1471</v>
      </c>
      <c r="H15" s="6" t="s">
        <v>252</v>
      </c>
      <c r="I15" s="6" t="s">
        <v>1472</v>
      </c>
      <c r="J15" s="6" t="s">
        <v>252</v>
      </c>
      <c r="K15" s="6" t="s">
        <v>1473</v>
      </c>
      <c r="L15" s="6" t="s">
        <v>252</v>
      </c>
      <c r="M15" s="6" t="s">
        <v>1474</v>
      </c>
      <c r="N15" s="6" t="s">
        <v>252</v>
      </c>
      <c r="O15" s="6" t="s">
        <v>1475</v>
      </c>
      <c r="P15" s="6" t="s">
        <v>209</v>
      </c>
      <c r="Q15" s="6" t="s">
        <v>1476</v>
      </c>
      <c r="R15" s="6" t="s">
        <v>209</v>
      </c>
      <c r="S15" s="6" t="s">
        <v>1477</v>
      </c>
      <c r="T15" s="6" t="s">
        <v>209</v>
      </c>
      <c r="U15" s="6" t="s">
        <v>1478</v>
      </c>
      <c r="V15" s="6" t="s">
        <v>209</v>
      </c>
      <c r="W15" s="6" t="s">
        <v>1478</v>
      </c>
      <c r="X15" s="6" t="s">
        <v>209</v>
      </c>
      <c r="Y15" s="6" t="s">
        <v>1479</v>
      </c>
      <c r="Z15" s="6" t="s">
        <v>209</v>
      </c>
      <c r="AA15" s="6" t="s">
        <v>1480</v>
      </c>
      <c r="AB15" s="6" t="s">
        <v>209</v>
      </c>
      <c r="AC15" s="6" t="s">
        <v>1481</v>
      </c>
      <c r="AD15" s="8" t="s">
        <v>209</v>
      </c>
      <c r="AE15" s="6" t="s">
        <v>1482</v>
      </c>
      <c r="AF15" s="6" t="s">
        <v>209</v>
      </c>
      <c r="AG15" s="6" t="s">
        <v>1483</v>
      </c>
      <c r="AH15" s="6" t="s">
        <v>209</v>
      </c>
      <c r="AI15" s="6" t="s">
        <v>1484</v>
      </c>
      <c r="AJ15" s="6" t="s">
        <v>209</v>
      </c>
      <c r="AK15" s="6" t="s">
        <v>1485</v>
      </c>
      <c r="AL15" s="6" t="s">
        <v>252</v>
      </c>
      <c r="AM15" s="6" t="s">
        <v>1486</v>
      </c>
      <c r="AN15" s="6" t="s">
        <v>252</v>
      </c>
      <c r="AO15" s="6" t="s">
        <v>1487</v>
      </c>
      <c r="AP15" s="6" t="s">
        <v>252</v>
      </c>
      <c r="AQ15" s="6" t="s">
        <v>1488</v>
      </c>
      <c r="AR15" s="6" t="s">
        <v>209</v>
      </c>
      <c r="AS15" s="6" t="s">
        <v>1489</v>
      </c>
      <c r="AT15" s="6" t="s">
        <v>209</v>
      </c>
      <c r="AU15" s="6" t="s">
        <v>1490</v>
      </c>
      <c r="AV15" s="6" t="s">
        <v>209</v>
      </c>
      <c r="AW15" s="6" t="s">
        <v>1491</v>
      </c>
      <c r="AX15" s="6" t="s">
        <v>252</v>
      </c>
      <c r="AY15" s="6" t="s">
        <v>1492</v>
      </c>
      <c r="AZ15" s="6" t="s">
        <v>252</v>
      </c>
      <c r="BA15" s="6" t="s">
        <v>1493</v>
      </c>
      <c r="BB15" s="6" t="s">
        <v>209</v>
      </c>
      <c r="BC15" s="6" t="s">
        <v>1494</v>
      </c>
    </row>
    <row r="16" spans="1:55" ht="15.75" customHeight="1">
      <c r="A16" s="5">
        <v>13</v>
      </c>
      <c r="B16" s="6" t="s">
        <v>309</v>
      </c>
      <c r="C16" s="6" t="s">
        <v>1495</v>
      </c>
      <c r="D16" s="6" t="s">
        <v>309</v>
      </c>
      <c r="E16" s="6" t="s">
        <v>1496</v>
      </c>
      <c r="F16" s="6" t="s">
        <v>309</v>
      </c>
      <c r="G16" s="6" t="s">
        <v>1497</v>
      </c>
      <c r="H16" s="6" t="s">
        <v>280</v>
      </c>
      <c r="I16" s="6" t="s">
        <v>1498</v>
      </c>
      <c r="J16" s="6" t="s">
        <v>280</v>
      </c>
      <c r="K16" s="6" t="s">
        <v>1499</v>
      </c>
      <c r="L16" s="6" t="s">
        <v>280</v>
      </c>
      <c r="M16" s="6" t="s">
        <v>1500</v>
      </c>
      <c r="N16" s="6" t="s">
        <v>280</v>
      </c>
      <c r="O16" s="6" t="s">
        <v>1501</v>
      </c>
      <c r="P16" s="6" t="s">
        <v>309</v>
      </c>
      <c r="Q16" s="6" t="s">
        <v>1502</v>
      </c>
      <c r="R16" s="6" t="s">
        <v>309</v>
      </c>
      <c r="S16" s="6" t="s">
        <v>1503</v>
      </c>
      <c r="T16" s="6" t="s">
        <v>280</v>
      </c>
      <c r="U16" s="6" t="s">
        <v>1504</v>
      </c>
      <c r="V16" s="6" t="s">
        <v>280</v>
      </c>
      <c r="W16" s="6" t="s">
        <v>1505</v>
      </c>
      <c r="X16" s="6" t="s">
        <v>280</v>
      </c>
      <c r="Y16" s="6" t="s">
        <v>1506</v>
      </c>
      <c r="Z16" s="6" t="s">
        <v>280</v>
      </c>
      <c r="AA16" s="6" t="s">
        <v>1507</v>
      </c>
      <c r="AB16" s="6" t="s">
        <v>280</v>
      </c>
      <c r="AC16" s="6" t="s">
        <v>1508</v>
      </c>
      <c r="AD16" s="8" t="s">
        <v>280</v>
      </c>
      <c r="AE16" s="6" t="s">
        <v>1509</v>
      </c>
      <c r="AF16" s="6" t="s">
        <v>280</v>
      </c>
      <c r="AG16" s="6" t="s">
        <v>1510</v>
      </c>
      <c r="AH16" s="6" t="s">
        <v>280</v>
      </c>
      <c r="AI16" s="6" t="s">
        <v>1511</v>
      </c>
      <c r="AJ16" s="6" t="s">
        <v>280</v>
      </c>
      <c r="AK16" s="6" t="s">
        <v>1512</v>
      </c>
      <c r="AL16" s="6" t="s">
        <v>309</v>
      </c>
      <c r="AM16" s="6" t="s">
        <v>1513</v>
      </c>
      <c r="AN16" s="6" t="s">
        <v>309</v>
      </c>
      <c r="AO16" s="6" t="s">
        <v>1514</v>
      </c>
      <c r="AP16" s="6" t="s">
        <v>309</v>
      </c>
      <c r="AQ16" s="6" t="s">
        <v>1515</v>
      </c>
      <c r="AR16" s="6" t="s">
        <v>280</v>
      </c>
      <c r="AS16" s="6" t="s">
        <v>1516</v>
      </c>
      <c r="AT16" s="6" t="s">
        <v>280</v>
      </c>
      <c r="AU16" s="6" t="s">
        <v>1517</v>
      </c>
      <c r="AV16" s="6" t="s">
        <v>280</v>
      </c>
      <c r="AW16" s="6" t="s">
        <v>1518</v>
      </c>
      <c r="AX16" s="6" t="s">
        <v>280</v>
      </c>
      <c r="AY16" s="6" t="s">
        <v>1519</v>
      </c>
      <c r="AZ16" s="6" t="s">
        <v>309</v>
      </c>
      <c r="BA16" s="6" t="s">
        <v>1520</v>
      </c>
      <c r="BB16" s="6" t="s">
        <v>280</v>
      </c>
      <c r="BC16" s="6" t="s">
        <v>1521</v>
      </c>
    </row>
    <row r="17" spans="1:55" ht="15.75" customHeight="1">
      <c r="A17" s="5">
        <v>14</v>
      </c>
      <c r="B17" s="6" t="s">
        <v>252</v>
      </c>
      <c r="C17" s="6" t="s">
        <v>1522</v>
      </c>
      <c r="D17" s="6" t="s">
        <v>252</v>
      </c>
      <c r="E17" s="6" t="s">
        <v>1523</v>
      </c>
      <c r="F17" s="6" t="s">
        <v>252</v>
      </c>
      <c r="G17" s="6" t="s">
        <v>1524</v>
      </c>
      <c r="H17" s="6" t="s">
        <v>196</v>
      </c>
      <c r="I17" s="6" t="s">
        <v>1525</v>
      </c>
      <c r="J17" s="6" t="s">
        <v>196</v>
      </c>
      <c r="K17" s="6" t="s">
        <v>1526</v>
      </c>
      <c r="L17" s="6" t="s">
        <v>196</v>
      </c>
      <c r="M17" s="6" t="s">
        <v>1527</v>
      </c>
      <c r="N17" s="6" t="s">
        <v>252</v>
      </c>
      <c r="O17" s="6" t="s">
        <v>1528</v>
      </c>
      <c r="P17" s="6" t="s">
        <v>252</v>
      </c>
      <c r="Q17" s="6" t="s">
        <v>1529</v>
      </c>
      <c r="R17" s="6" t="s">
        <v>209</v>
      </c>
      <c r="S17" s="6" t="s">
        <v>1530</v>
      </c>
      <c r="T17" s="6" t="s">
        <v>196</v>
      </c>
      <c r="U17" s="6" t="s">
        <v>1531</v>
      </c>
      <c r="V17" s="6" t="s">
        <v>196</v>
      </c>
      <c r="W17" s="6" t="s">
        <v>1532</v>
      </c>
      <c r="X17" s="6" t="s">
        <v>196</v>
      </c>
      <c r="Y17" s="6" t="s">
        <v>1533</v>
      </c>
      <c r="Z17" s="6" t="s">
        <v>196</v>
      </c>
      <c r="AA17" s="6" t="s">
        <v>1534</v>
      </c>
      <c r="AB17" s="6" t="s">
        <v>196</v>
      </c>
      <c r="AC17" s="6" t="s">
        <v>1535</v>
      </c>
      <c r="AD17" s="8" t="s">
        <v>196</v>
      </c>
      <c r="AE17" s="6" t="s">
        <v>1536</v>
      </c>
      <c r="AF17" s="6" t="s">
        <v>196</v>
      </c>
      <c r="AG17" s="6" t="s">
        <v>1537</v>
      </c>
      <c r="AH17" s="6" t="s">
        <v>196</v>
      </c>
      <c r="AI17" s="6" t="s">
        <v>1538</v>
      </c>
      <c r="AJ17" s="6" t="s">
        <v>196</v>
      </c>
      <c r="AK17" s="6" t="s">
        <v>1539</v>
      </c>
      <c r="AL17" s="6" t="s">
        <v>252</v>
      </c>
      <c r="AM17" s="6" t="s">
        <v>1540</v>
      </c>
      <c r="AN17" s="6" t="s">
        <v>252</v>
      </c>
      <c r="AO17" s="6" t="s">
        <v>1541</v>
      </c>
      <c r="AP17" s="6" t="s">
        <v>252</v>
      </c>
      <c r="AQ17" s="6" t="s">
        <v>1542</v>
      </c>
      <c r="AR17" s="6" t="s">
        <v>196</v>
      </c>
      <c r="AS17" s="6" t="s">
        <v>1543</v>
      </c>
      <c r="AT17" s="6" t="s">
        <v>196</v>
      </c>
      <c r="AU17" s="6" t="s">
        <v>1544</v>
      </c>
      <c r="AV17" s="6" t="s">
        <v>196</v>
      </c>
      <c r="AW17" s="6" t="s">
        <v>1545</v>
      </c>
      <c r="AX17" s="6" t="s">
        <v>209</v>
      </c>
      <c r="AY17" s="6" t="s">
        <v>1546</v>
      </c>
      <c r="AZ17" s="6" t="s">
        <v>280</v>
      </c>
      <c r="BA17" s="6" t="s">
        <v>1547</v>
      </c>
      <c r="BB17" s="6" t="s">
        <v>280</v>
      </c>
      <c r="BC17" s="6" t="s">
        <v>1519</v>
      </c>
    </row>
    <row r="18" spans="1:55" ht="15.75" customHeight="1">
      <c r="A18" s="5">
        <v>15</v>
      </c>
      <c r="B18" s="6" t="s">
        <v>280</v>
      </c>
      <c r="C18" s="6" t="s">
        <v>1548</v>
      </c>
      <c r="D18" s="6" t="s">
        <v>280</v>
      </c>
      <c r="E18" s="6" t="s">
        <v>1549</v>
      </c>
      <c r="F18" s="6" t="s">
        <v>280</v>
      </c>
      <c r="G18" s="6" t="s">
        <v>1550</v>
      </c>
      <c r="H18" s="6" t="s">
        <v>252</v>
      </c>
      <c r="I18" s="6" t="s">
        <v>1551</v>
      </c>
      <c r="J18" s="6" t="s">
        <v>252</v>
      </c>
      <c r="K18" s="6" t="s">
        <v>1552</v>
      </c>
      <c r="L18" s="6" t="s">
        <v>252</v>
      </c>
      <c r="M18" s="6" t="s">
        <v>1553</v>
      </c>
      <c r="N18" s="6" t="s">
        <v>252</v>
      </c>
      <c r="O18" s="6" t="s">
        <v>1554</v>
      </c>
      <c r="P18" s="6" t="s">
        <v>252</v>
      </c>
      <c r="Q18" s="6" t="s">
        <v>1555</v>
      </c>
      <c r="R18" s="6" t="s">
        <v>280</v>
      </c>
      <c r="S18" s="6" t="s">
        <v>1556</v>
      </c>
      <c r="T18" s="6" t="s">
        <v>209</v>
      </c>
      <c r="U18" s="6" t="s">
        <v>1557</v>
      </c>
      <c r="V18" s="6" t="s">
        <v>209</v>
      </c>
      <c r="W18" s="6" t="s">
        <v>1558</v>
      </c>
      <c r="X18" s="6" t="s">
        <v>209</v>
      </c>
      <c r="Y18" s="6" t="s">
        <v>1559</v>
      </c>
      <c r="Z18" s="6" t="s">
        <v>209</v>
      </c>
      <c r="AA18" s="6" t="s">
        <v>1560</v>
      </c>
      <c r="AB18" s="6" t="s">
        <v>209</v>
      </c>
      <c r="AC18" s="6" t="s">
        <v>1561</v>
      </c>
      <c r="AD18" s="8" t="s">
        <v>209</v>
      </c>
      <c r="AE18" s="6" t="s">
        <v>1562</v>
      </c>
      <c r="AF18" s="6" t="s">
        <v>252</v>
      </c>
      <c r="AG18" s="6" t="s">
        <v>1563</v>
      </c>
      <c r="AH18" s="6" t="s">
        <v>209</v>
      </c>
      <c r="AI18" s="6" t="s">
        <v>1564</v>
      </c>
      <c r="AJ18" s="6" t="s">
        <v>209</v>
      </c>
      <c r="AK18" s="6" t="s">
        <v>1565</v>
      </c>
      <c r="AL18" s="6" t="s">
        <v>280</v>
      </c>
      <c r="AM18" s="6" t="s">
        <v>1566</v>
      </c>
      <c r="AN18" s="6" t="s">
        <v>280</v>
      </c>
      <c r="AO18" s="6" t="s">
        <v>1567</v>
      </c>
      <c r="AP18" s="6" t="s">
        <v>280</v>
      </c>
      <c r="AQ18" s="6" t="s">
        <v>1568</v>
      </c>
      <c r="AR18" s="6" t="s">
        <v>209</v>
      </c>
      <c r="AS18" s="6" t="s">
        <v>1569</v>
      </c>
      <c r="AT18" s="6" t="s">
        <v>209</v>
      </c>
      <c r="AU18" s="6" t="s">
        <v>1570</v>
      </c>
      <c r="AV18" s="6" t="s">
        <v>209</v>
      </c>
      <c r="AW18" s="6" t="s">
        <v>1571</v>
      </c>
      <c r="AX18" s="6" t="s">
        <v>252</v>
      </c>
      <c r="AY18" s="6" t="s">
        <v>1572</v>
      </c>
      <c r="AZ18" s="6" t="s">
        <v>280</v>
      </c>
      <c r="BA18" s="6" t="s">
        <v>1573</v>
      </c>
      <c r="BB18" s="6" t="s">
        <v>252</v>
      </c>
      <c r="BC18" s="6" t="s">
        <v>1574</v>
      </c>
    </row>
    <row r="19" spans="1:55" ht="15.75" customHeight="1">
      <c r="A19" s="5">
        <v>16</v>
      </c>
      <c r="B19" s="6" t="s">
        <v>309</v>
      </c>
      <c r="C19" s="6" t="s">
        <v>1575</v>
      </c>
      <c r="D19" s="6" t="s">
        <v>309</v>
      </c>
      <c r="E19" s="6" t="s">
        <v>1576</v>
      </c>
      <c r="F19" s="6" t="s">
        <v>309</v>
      </c>
      <c r="G19" s="6" t="s">
        <v>1577</v>
      </c>
      <c r="H19" s="6" t="s">
        <v>196</v>
      </c>
      <c r="I19" s="6" t="s">
        <v>1578</v>
      </c>
      <c r="J19" s="6" t="s">
        <v>196</v>
      </c>
      <c r="K19" s="6" t="s">
        <v>1579</v>
      </c>
      <c r="L19" s="6" t="s">
        <v>196</v>
      </c>
      <c r="M19" s="6" t="s">
        <v>1580</v>
      </c>
      <c r="N19" s="6" t="s">
        <v>309</v>
      </c>
      <c r="O19" s="6" t="s">
        <v>1581</v>
      </c>
      <c r="P19" s="6" t="s">
        <v>280</v>
      </c>
      <c r="Q19" s="6" t="s">
        <v>1582</v>
      </c>
      <c r="R19" s="6" t="s">
        <v>309</v>
      </c>
      <c r="S19" s="6" t="s">
        <v>1583</v>
      </c>
      <c r="T19" s="6" t="s">
        <v>252</v>
      </c>
      <c r="U19" s="6" t="s">
        <v>1584</v>
      </c>
      <c r="V19" s="6" t="s">
        <v>252</v>
      </c>
      <c r="W19" s="6" t="s">
        <v>1585</v>
      </c>
      <c r="X19" s="6" t="s">
        <v>209</v>
      </c>
      <c r="Y19" s="6" t="s">
        <v>1586</v>
      </c>
      <c r="Z19" s="6" t="s">
        <v>196</v>
      </c>
      <c r="AA19" s="6" t="s">
        <v>1587</v>
      </c>
      <c r="AB19" s="6" t="s">
        <v>196</v>
      </c>
      <c r="AC19" s="6" t="s">
        <v>1588</v>
      </c>
      <c r="AD19" s="8" t="s">
        <v>209</v>
      </c>
      <c r="AE19" s="6" t="s">
        <v>1589</v>
      </c>
      <c r="AF19" s="6" t="s">
        <v>252</v>
      </c>
      <c r="AG19" s="6" t="s">
        <v>1590</v>
      </c>
      <c r="AH19" s="6" t="s">
        <v>280</v>
      </c>
      <c r="AI19" s="6" t="s">
        <v>1591</v>
      </c>
      <c r="AJ19" s="6" t="s">
        <v>280</v>
      </c>
      <c r="AK19" s="6" t="s">
        <v>1592</v>
      </c>
      <c r="AL19" s="6" t="s">
        <v>309</v>
      </c>
      <c r="AM19" s="6" t="s">
        <v>1593</v>
      </c>
      <c r="AN19" s="6" t="s">
        <v>309</v>
      </c>
      <c r="AO19" s="6" t="s">
        <v>1594</v>
      </c>
      <c r="AP19" s="6" t="s">
        <v>309</v>
      </c>
      <c r="AQ19" s="6" t="s">
        <v>1595</v>
      </c>
      <c r="AR19" s="6" t="s">
        <v>30</v>
      </c>
      <c r="AS19" s="6" t="s">
        <v>1596</v>
      </c>
      <c r="AT19" s="6" t="s">
        <v>30</v>
      </c>
      <c r="AU19" s="6" t="s">
        <v>1597</v>
      </c>
      <c r="AV19" s="6" t="s">
        <v>159</v>
      </c>
      <c r="AW19" s="6" t="s">
        <v>1598</v>
      </c>
      <c r="AX19" s="6" t="s">
        <v>280</v>
      </c>
      <c r="AY19" s="6" t="s">
        <v>1599</v>
      </c>
      <c r="AZ19" s="6" t="s">
        <v>280</v>
      </c>
      <c r="BA19" s="6" t="s">
        <v>1600</v>
      </c>
      <c r="BB19" s="6" t="s">
        <v>309</v>
      </c>
      <c r="BC19" s="6" t="s">
        <v>1601</v>
      </c>
    </row>
    <row r="20" spans="1:55" ht="15.75" customHeight="1">
      <c r="A20" s="5">
        <v>17</v>
      </c>
      <c r="B20" s="6" t="s">
        <v>309</v>
      </c>
      <c r="C20" s="6" t="s">
        <v>1602</v>
      </c>
      <c r="D20" s="6" t="s">
        <v>309</v>
      </c>
      <c r="E20" s="6" t="s">
        <v>1603</v>
      </c>
      <c r="F20" s="6" t="s">
        <v>309</v>
      </c>
      <c r="G20" s="6" t="s">
        <v>1604</v>
      </c>
      <c r="H20" s="6" t="s">
        <v>252</v>
      </c>
      <c r="I20" s="6" t="s">
        <v>1605</v>
      </c>
      <c r="J20" s="6" t="s">
        <v>252</v>
      </c>
      <c r="K20" s="6" t="s">
        <v>1606</v>
      </c>
      <c r="L20" s="6" t="s">
        <v>252</v>
      </c>
      <c r="M20" s="6" t="s">
        <v>1607</v>
      </c>
      <c r="N20" s="6" t="s">
        <v>309</v>
      </c>
      <c r="O20" s="6" t="s">
        <v>1608</v>
      </c>
      <c r="P20" s="6" t="s">
        <v>280</v>
      </c>
      <c r="Q20" s="6" t="s">
        <v>1609</v>
      </c>
      <c r="R20" s="6" t="s">
        <v>280</v>
      </c>
      <c r="S20" s="6" t="s">
        <v>1610</v>
      </c>
      <c r="T20" s="6" t="s">
        <v>252</v>
      </c>
      <c r="U20" s="6" t="s">
        <v>1611</v>
      </c>
      <c r="V20" s="6" t="s">
        <v>209</v>
      </c>
      <c r="W20" s="6" t="s">
        <v>1612</v>
      </c>
      <c r="X20" s="6" t="s">
        <v>252</v>
      </c>
      <c r="Y20" s="6" t="s">
        <v>1613</v>
      </c>
      <c r="Z20" s="6" t="s">
        <v>209</v>
      </c>
      <c r="AA20" s="6" t="s">
        <v>1614</v>
      </c>
      <c r="AB20" s="6" t="s">
        <v>209</v>
      </c>
      <c r="AC20" s="6" t="s">
        <v>1615</v>
      </c>
      <c r="AD20" s="8" t="s">
        <v>209</v>
      </c>
      <c r="AE20" s="6" t="s">
        <v>1616</v>
      </c>
      <c r="AF20" s="6" t="s">
        <v>252</v>
      </c>
      <c r="AG20" s="6" t="s">
        <v>1617</v>
      </c>
      <c r="AH20" s="6" t="s">
        <v>252</v>
      </c>
      <c r="AI20" s="6" t="s">
        <v>1618</v>
      </c>
      <c r="AJ20" s="6" t="s">
        <v>252</v>
      </c>
      <c r="AK20" s="6" t="s">
        <v>1619</v>
      </c>
      <c r="AL20" s="6" t="s">
        <v>309</v>
      </c>
      <c r="AM20" s="6" t="s">
        <v>1620</v>
      </c>
      <c r="AN20" s="6" t="s">
        <v>309</v>
      </c>
      <c r="AO20" s="6" t="s">
        <v>1621</v>
      </c>
      <c r="AP20" s="6" t="s">
        <v>309</v>
      </c>
      <c r="AQ20" s="6" t="s">
        <v>1622</v>
      </c>
      <c r="AR20" s="6" t="s">
        <v>196</v>
      </c>
      <c r="AS20" s="6" t="s">
        <v>1623</v>
      </c>
      <c r="AT20" s="6" t="s">
        <v>196</v>
      </c>
      <c r="AU20" s="6" t="s">
        <v>1624</v>
      </c>
      <c r="AV20" s="6" t="s">
        <v>209</v>
      </c>
      <c r="AW20" s="6" t="s">
        <v>1625</v>
      </c>
      <c r="AX20" s="6" t="s">
        <v>280</v>
      </c>
      <c r="AY20" s="6" t="s">
        <v>1626</v>
      </c>
      <c r="AZ20" s="6" t="s">
        <v>280</v>
      </c>
      <c r="BA20" s="6" t="s">
        <v>1627</v>
      </c>
      <c r="BB20" s="6" t="s">
        <v>280</v>
      </c>
      <c r="BC20" s="6" t="s">
        <v>1628</v>
      </c>
    </row>
    <row r="21" spans="1:55" ht="15.75" customHeight="1">
      <c r="A21" s="5">
        <v>18</v>
      </c>
      <c r="B21" s="6" t="s">
        <v>309</v>
      </c>
      <c r="C21" s="6" t="s">
        <v>1629</v>
      </c>
      <c r="D21" s="6" t="s">
        <v>309</v>
      </c>
      <c r="E21" s="6" t="s">
        <v>1630</v>
      </c>
      <c r="F21" s="6" t="s">
        <v>309</v>
      </c>
      <c r="G21" s="6" t="s">
        <v>1631</v>
      </c>
      <c r="H21" s="6" t="s">
        <v>252</v>
      </c>
      <c r="I21" s="6" t="s">
        <v>1632</v>
      </c>
      <c r="J21" s="6" t="s">
        <v>252</v>
      </c>
      <c r="K21" s="6" t="s">
        <v>1633</v>
      </c>
      <c r="L21" s="6" t="s">
        <v>252</v>
      </c>
      <c r="M21" s="6" t="s">
        <v>1634</v>
      </c>
      <c r="N21" s="6" t="s">
        <v>293</v>
      </c>
      <c r="O21" s="6" t="s">
        <v>1635</v>
      </c>
      <c r="P21" s="6" t="s">
        <v>280</v>
      </c>
      <c r="Q21" s="6" t="s">
        <v>1636</v>
      </c>
      <c r="R21" s="6" t="s">
        <v>293</v>
      </c>
      <c r="S21" s="6" t="s">
        <v>1637</v>
      </c>
      <c r="T21" s="6" t="s">
        <v>280</v>
      </c>
      <c r="U21" s="6" t="s">
        <v>1638</v>
      </c>
      <c r="V21" s="6" t="s">
        <v>280</v>
      </c>
      <c r="W21" s="6" t="s">
        <v>1639</v>
      </c>
      <c r="X21" s="6" t="s">
        <v>252</v>
      </c>
      <c r="Y21" s="6" t="s">
        <v>1640</v>
      </c>
      <c r="Z21" s="6" t="s">
        <v>252</v>
      </c>
      <c r="AA21" s="6" t="s">
        <v>1641</v>
      </c>
      <c r="AB21" s="6" t="s">
        <v>252</v>
      </c>
      <c r="AC21" s="6" t="s">
        <v>1642</v>
      </c>
      <c r="AD21" s="8" t="s">
        <v>252</v>
      </c>
      <c r="AE21" s="6" t="s">
        <v>1643</v>
      </c>
      <c r="AF21" s="6" t="s">
        <v>280</v>
      </c>
      <c r="AG21" s="6" t="s">
        <v>1644</v>
      </c>
      <c r="AH21" s="6" t="s">
        <v>280</v>
      </c>
      <c r="AI21" s="6" t="s">
        <v>1645</v>
      </c>
      <c r="AJ21" s="6" t="s">
        <v>252</v>
      </c>
      <c r="AK21" s="6" t="s">
        <v>1646</v>
      </c>
      <c r="AL21" s="6" t="s">
        <v>309</v>
      </c>
      <c r="AM21" s="6" t="s">
        <v>1647</v>
      </c>
      <c r="AN21" s="6" t="s">
        <v>309</v>
      </c>
      <c r="AO21" s="6" t="s">
        <v>1648</v>
      </c>
      <c r="AP21" s="6" t="s">
        <v>309</v>
      </c>
      <c r="AQ21" s="6" t="s">
        <v>1649</v>
      </c>
      <c r="AR21" s="6" t="s">
        <v>209</v>
      </c>
      <c r="AS21" s="6" t="s">
        <v>1650</v>
      </c>
      <c r="AT21" s="6" t="s">
        <v>209</v>
      </c>
      <c r="AU21" s="6" t="s">
        <v>1651</v>
      </c>
      <c r="AV21" s="6" t="s">
        <v>209</v>
      </c>
      <c r="AW21" s="6" t="s">
        <v>1652</v>
      </c>
      <c r="AX21" s="6" t="s">
        <v>309</v>
      </c>
      <c r="AY21" s="6" t="s">
        <v>1653</v>
      </c>
      <c r="AZ21" s="6" t="s">
        <v>309</v>
      </c>
      <c r="BA21" s="6" t="s">
        <v>1654</v>
      </c>
      <c r="BB21" s="6" t="s">
        <v>309</v>
      </c>
      <c r="BC21" s="6" t="s">
        <v>1655</v>
      </c>
    </row>
    <row r="22" spans="1:55" ht="15.75" customHeight="1">
      <c r="A22" s="5">
        <v>19</v>
      </c>
      <c r="B22" s="6" t="s">
        <v>379</v>
      </c>
      <c r="C22" s="6" t="s">
        <v>1656</v>
      </c>
      <c r="D22" s="6" t="s">
        <v>379</v>
      </c>
      <c r="E22" s="6" t="s">
        <v>1657</v>
      </c>
      <c r="F22" s="6" t="s">
        <v>379</v>
      </c>
      <c r="G22" s="6" t="s">
        <v>1658</v>
      </c>
      <c r="H22" s="6" t="s">
        <v>379</v>
      </c>
      <c r="I22" s="6" t="s">
        <v>1659</v>
      </c>
      <c r="J22" s="6" t="s">
        <v>379</v>
      </c>
      <c r="K22" s="6" t="s">
        <v>1660</v>
      </c>
      <c r="L22" s="6" t="s">
        <v>379</v>
      </c>
      <c r="M22" s="6" t="s">
        <v>1661</v>
      </c>
      <c r="N22" s="6" t="s">
        <v>379</v>
      </c>
      <c r="O22" s="6" t="s">
        <v>1662</v>
      </c>
      <c r="P22" s="6" t="s">
        <v>379</v>
      </c>
      <c r="Q22" s="6" t="s">
        <v>1663</v>
      </c>
      <c r="R22" s="6" t="s">
        <v>379</v>
      </c>
      <c r="S22" s="6" t="s">
        <v>1664</v>
      </c>
      <c r="T22" s="6" t="s">
        <v>352</v>
      </c>
      <c r="U22" s="6" t="s">
        <v>1665</v>
      </c>
      <c r="V22" s="6" t="s">
        <v>352</v>
      </c>
      <c r="W22" s="6" t="s">
        <v>1666</v>
      </c>
      <c r="X22" s="6" t="s">
        <v>352</v>
      </c>
      <c r="Y22" s="6" t="s">
        <v>1667</v>
      </c>
      <c r="Z22" s="6" t="s">
        <v>352</v>
      </c>
      <c r="AA22" s="6" t="s">
        <v>1668</v>
      </c>
      <c r="AB22" s="6" t="s">
        <v>352</v>
      </c>
      <c r="AC22" s="6" t="s">
        <v>1669</v>
      </c>
      <c r="AD22" s="8" t="s">
        <v>352</v>
      </c>
      <c r="AE22" s="6" t="s">
        <v>1670</v>
      </c>
      <c r="AF22" s="6" t="s">
        <v>352</v>
      </c>
      <c r="AG22" s="6" t="s">
        <v>1671</v>
      </c>
      <c r="AH22" s="6" t="s">
        <v>352</v>
      </c>
      <c r="AI22" s="6" t="s">
        <v>1672</v>
      </c>
      <c r="AJ22" s="6" t="s">
        <v>352</v>
      </c>
      <c r="AK22" s="6" t="s">
        <v>1673</v>
      </c>
      <c r="AL22" s="6" t="s">
        <v>379</v>
      </c>
      <c r="AM22" s="6" t="s">
        <v>1674</v>
      </c>
      <c r="AN22" s="6" t="s">
        <v>379</v>
      </c>
      <c r="AO22" s="6" t="s">
        <v>1675</v>
      </c>
      <c r="AP22" s="6" t="s">
        <v>379</v>
      </c>
      <c r="AQ22" s="6" t="s">
        <v>1676</v>
      </c>
      <c r="AR22" s="6" t="s">
        <v>352</v>
      </c>
      <c r="AS22" s="6" t="s">
        <v>1677</v>
      </c>
      <c r="AT22" s="6" t="s">
        <v>352</v>
      </c>
      <c r="AU22" s="6" t="s">
        <v>1678</v>
      </c>
      <c r="AV22" s="6" t="s">
        <v>352</v>
      </c>
      <c r="AW22" s="6" t="s">
        <v>1679</v>
      </c>
      <c r="AX22" s="6" t="s">
        <v>352</v>
      </c>
      <c r="AY22" s="6" t="s">
        <v>1680</v>
      </c>
      <c r="AZ22" s="6" t="s">
        <v>379</v>
      </c>
      <c r="BA22" s="6" t="s">
        <v>1681</v>
      </c>
      <c r="BB22" s="6" t="s">
        <v>379</v>
      </c>
      <c r="BC22" s="6" t="s">
        <v>1682</v>
      </c>
    </row>
    <row r="23" spans="1:55" ht="12.75">
      <c r="A23" s="5">
        <v>20</v>
      </c>
      <c r="B23" s="6" t="s">
        <v>322</v>
      </c>
      <c r="C23" s="6" t="s">
        <v>1683</v>
      </c>
      <c r="D23" s="6" t="s">
        <v>322</v>
      </c>
      <c r="E23" s="6" t="s">
        <v>1684</v>
      </c>
      <c r="F23" s="6" t="s">
        <v>322</v>
      </c>
      <c r="G23" s="6" t="s">
        <v>1685</v>
      </c>
      <c r="H23" s="6" t="s">
        <v>322</v>
      </c>
      <c r="I23" s="6" t="s">
        <v>1686</v>
      </c>
      <c r="J23" s="6" t="s">
        <v>322</v>
      </c>
      <c r="K23" s="6" t="s">
        <v>1687</v>
      </c>
      <c r="L23" s="6" t="s">
        <v>322</v>
      </c>
      <c r="M23" s="6" t="s">
        <v>1688</v>
      </c>
      <c r="N23" s="6" t="s">
        <v>322</v>
      </c>
      <c r="O23" s="6" t="s">
        <v>1689</v>
      </c>
      <c r="P23" s="6" t="s">
        <v>352</v>
      </c>
      <c r="Q23" s="6" t="s">
        <v>1690</v>
      </c>
      <c r="R23" s="6" t="s">
        <v>309</v>
      </c>
      <c r="S23" s="6" t="s">
        <v>1691</v>
      </c>
      <c r="T23" s="6" t="s">
        <v>309</v>
      </c>
      <c r="U23" s="6" t="s">
        <v>1692</v>
      </c>
      <c r="V23" s="6" t="s">
        <v>309</v>
      </c>
      <c r="W23" s="6" t="s">
        <v>1693</v>
      </c>
      <c r="X23" s="6" t="s">
        <v>309</v>
      </c>
      <c r="Y23" s="6" t="s">
        <v>1694</v>
      </c>
      <c r="Z23" s="6" t="s">
        <v>309</v>
      </c>
      <c r="AA23" s="6" t="s">
        <v>1695</v>
      </c>
      <c r="AB23" s="6" t="s">
        <v>309</v>
      </c>
      <c r="AC23" s="6" t="s">
        <v>1696</v>
      </c>
      <c r="AD23" s="8" t="s">
        <v>309</v>
      </c>
      <c r="AE23" s="6" t="s">
        <v>1697</v>
      </c>
      <c r="AF23" s="6" t="s">
        <v>293</v>
      </c>
      <c r="AG23" s="6" t="s">
        <v>1698</v>
      </c>
      <c r="AH23" s="6" t="s">
        <v>293</v>
      </c>
      <c r="AI23" s="6" t="s">
        <v>1699</v>
      </c>
      <c r="AJ23" s="6" t="s">
        <v>293</v>
      </c>
      <c r="AK23" s="6" t="s">
        <v>1700</v>
      </c>
      <c r="AL23" s="6" t="s">
        <v>322</v>
      </c>
      <c r="AM23" s="6" t="s">
        <v>1701</v>
      </c>
      <c r="AN23" s="6" t="s">
        <v>322</v>
      </c>
      <c r="AO23" s="6" t="s">
        <v>1702</v>
      </c>
      <c r="AP23" s="6" t="s">
        <v>322</v>
      </c>
      <c r="AQ23" s="6" t="s">
        <v>1703</v>
      </c>
      <c r="AR23" s="6" t="s">
        <v>280</v>
      </c>
      <c r="AS23" s="6" t="s">
        <v>1704</v>
      </c>
      <c r="AT23" s="6" t="s">
        <v>280</v>
      </c>
      <c r="AU23" s="6" t="s">
        <v>1705</v>
      </c>
      <c r="AV23" s="6" t="s">
        <v>280</v>
      </c>
      <c r="AW23" s="6" t="s">
        <v>1706</v>
      </c>
      <c r="AX23" s="6" t="s">
        <v>322</v>
      </c>
      <c r="AY23" s="6" t="s">
        <v>1707</v>
      </c>
      <c r="AZ23" s="6" t="s">
        <v>309</v>
      </c>
      <c r="BA23" s="6" t="s">
        <v>1708</v>
      </c>
      <c r="BB23" s="6" t="s">
        <v>322</v>
      </c>
      <c r="BC23" s="6" t="s">
        <v>1709</v>
      </c>
    </row>
    <row r="24" spans="1:55" ht="12.75">
      <c r="A24" s="5">
        <v>21</v>
      </c>
      <c r="B24" s="6" t="s">
        <v>436</v>
      </c>
      <c r="C24" s="6" t="s">
        <v>1710</v>
      </c>
      <c r="D24" s="6" t="s">
        <v>436</v>
      </c>
      <c r="E24" s="6" t="s">
        <v>1711</v>
      </c>
      <c r="F24" s="6" t="s">
        <v>436</v>
      </c>
      <c r="G24" s="6" t="s">
        <v>1712</v>
      </c>
      <c r="H24" s="6" t="s">
        <v>490</v>
      </c>
      <c r="I24" s="6" t="s">
        <v>1713</v>
      </c>
      <c r="J24" s="6" t="s">
        <v>490</v>
      </c>
      <c r="K24" s="6" t="s">
        <v>1714</v>
      </c>
      <c r="L24" s="6" t="s">
        <v>490</v>
      </c>
      <c r="M24" s="6" t="s">
        <v>1715</v>
      </c>
      <c r="N24" s="6" t="s">
        <v>381</v>
      </c>
      <c r="O24" s="6" t="s">
        <v>1716</v>
      </c>
      <c r="P24" s="6" t="s">
        <v>381</v>
      </c>
      <c r="Q24" s="6" t="s">
        <v>1717</v>
      </c>
      <c r="R24" s="6" t="s">
        <v>436</v>
      </c>
      <c r="S24" s="6" t="s">
        <v>1718</v>
      </c>
      <c r="T24" s="6" t="s">
        <v>352</v>
      </c>
      <c r="U24" s="6" t="s">
        <v>1719</v>
      </c>
      <c r="V24" s="6" t="s">
        <v>379</v>
      </c>
      <c r="W24" s="6" t="s">
        <v>1720</v>
      </c>
      <c r="X24" s="6" t="s">
        <v>379</v>
      </c>
      <c r="Y24" s="6" t="s">
        <v>1721</v>
      </c>
      <c r="Z24" s="6" t="s">
        <v>379</v>
      </c>
      <c r="AA24" s="6" t="s">
        <v>1722</v>
      </c>
      <c r="AB24" s="6" t="s">
        <v>379</v>
      </c>
      <c r="AC24" s="6" t="s">
        <v>1723</v>
      </c>
      <c r="AD24" s="8" t="s">
        <v>379</v>
      </c>
      <c r="AE24" s="6" t="s">
        <v>1724</v>
      </c>
      <c r="AF24" s="6" t="s">
        <v>436</v>
      </c>
      <c r="AG24" s="6" t="s">
        <v>1725</v>
      </c>
      <c r="AH24" s="6" t="s">
        <v>381</v>
      </c>
      <c r="AI24" s="6" t="s">
        <v>1726</v>
      </c>
      <c r="AJ24" s="6" t="s">
        <v>381</v>
      </c>
      <c r="AK24" s="6" t="s">
        <v>1727</v>
      </c>
      <c r="AL24" s="6" t="s">
        <v>436</v>
      </c>
      <c r="AM24" s="6" t="s">
        <v>1728</v>
      </c>
      <c r="AN24" s="6" t="s">
        <v>436</v>
      </c>
      <c r="AO24" s="6" t="s">
        <v>1729</v>
      </c>
      <c r="AP24" s="6" t="s">
        <v>436</v>
      </c>
      <c r="AQ24" s="6" t="s">
        <v>1730</v>
      </c>
      <c r="AR24" s="6" t="s">
        <v>352</v>
      </c>
      <c r="AS24" s="6" t="s">
        <v>1731</v>
      </c>
      <c r="AT24" s="6" t="s">
        <v>352</v>
      </c>
      <c r="AU24" s="6" t="s">
        <v>1732</v>
      </c>
      <c r="AV24" s="6" t="s">
        <v>352</v>
      </c>
      <c r="AW24" s="6" t="s">
        <v>1733</v>
      </c>
      <c r="AX24" s="6" t="s">
        <v>490</v>
      </c>
      <c r="AY24" s="6" t="s">
        <v>1734</v>
      </c>
      <c r="AZ24" s="6" t="s">
        <v>492</v>
      </c>
      <c r="BA24" s="6" t="s">
        <v>1735</v>
      </c>
      <c r="BB24" s="6" t="s">
        <v>490</v>
      </c>
      <c r="BC24" s="6" t="s">
        <v>1736</v>
      </c>
    </row>
    <row r="25" spans="1:55" ht="12.75">
      <c r="A25" s="5">
        <v>22</v>
      </c>
      <c r="B25" s="6" t="s">
        <v>293</v>
      </c>
      <c r="C25" s="6" t="s">
        <v>1737</v>
      </c>
      <c r="D25" s="6" t="s">
        <v>293</v>
      </c>
      <c r="E25" s="6" t="s">
        <v>1738</v>
      </c>
      <c r="F25" s="6" t="s">
        <v>293</v>
      </c>
      <c r="G25" s="6" t="s">
        <v>1739</v>
      </c>
      <c r="H25" s="6" t="s">
        <v>252</v>
      </c>
      <c r="I25" s="6" t="s">
        <v>1740</v>
      </c>
      <c r="J25" s="6" t="s">
        <v>252</v>
      </c>
      <c r="K25" s="6" t="s">
        <v>1741</v>
      </c>
      <c r="L25" s="6" t="s">
        <v>252</v>
      </c>
      <c r="M25" s="6" t="s">
        <v>1742</v>
      </c>
      <c r="N25" s="6" t="s">
        <v>309</v>
      </c>
      <c r="O25" s="6" t="s">
        <v>1743</v>
      </c>
      <c r="P25" s="6" t="s">
        <v>309</v>
      </c>
      <c r="Q25" s="6" t="s">
        <v>1744</v>
      </c>
      <c r="R25" s="6" t="s">
        <v>293</v>
      </c>
      <c r="S25" s="6" t="s">
        <v>1745</v>
      </c>
      <c r="T25" s="6" t="s">
        <v>309</v>
      </c>
      <c r="U25" s="6" t="s">
        <v>1746</v>
      </c>
      <c r="V25" s="6" t="s">
        <v>309</v>
      </c>
      <c r="W25" s="6" t="s">
        <v>1747</v>
      </c>
      <c r="X25" s="6" t="s">
        <v>280</v>
      </c>
      <c r="Y25" s="6" t="s">
        <v>1748</v>
      </c>
      <c r="Z25" s="6" t="s">
        <v>280</v>
      </c>
      <c r="AA25" s="6" t="s">
        <v>1749</v>
      </c>
      <c r="AB25" s="6" t="s">
        <v>280</v>
      </c>
      <c r="AC25" s="6" t="s">
        <v>1750</v>
      </c>
      <c r="AD25" s="8" t="s">
        <v>280</v>
      </c>
      <c r="AE25" s="6" t="s">
        <v>1751</v>
      </c>
      <c r="AF25" s="6" t="s">
        <v>309</v>
      </c>
      <c r="AG25" s="6" t="s">
        <v>1752</v>
      </c>
      <c r="AH25" s="6" t="s">
        <v>293</v>
      </c>
      <c r="AI25" s="6" t="s">
        <v>1753</v>
      </c>
      <c r="AJ25" s="6" t="s">
        <v>309</v>
      </c>
      <c r="AK25" s="6" t="s">
        <v>1754</v>
      </c>
      <c r="AL25" s="6" t="s">
        <v>293</v>
      </c>
      <c r="AM25" s="6" t="s">
        <v>1755</v>
      </c>
      <c r="AN25" s="6" t="s">
        <v>293</v>
      </c>
      <c r="AO25" s="6" t="s">
        <v>1756</v>
      </c>
      <c r="AP25" s="6" t="s">
        <v>293</v>
      </c>
      <c r="AQ25" s="6" t="s">
        <v>1757</v>
      </c>
      <c r="AR25" s="6" t="s">
        <v>252</v>
      </c>
      <c r="AS25" s="6" t="s">
        <v>1758</v>
      </c>
      <c r="AT25" s="6" t="s">
        <v>252</v>
      </c>
      <c r="AU25" s="6" t="s">
        <v>1759</v>
      </c>
      <c r="AV25" s="6" t="s">
        <v>252</v>
      </c>
      <c r="AW25" s="6" t="s">
        <v>1760</v>
      </c>
      <c r="AX25" s="6" t="s">
        <v>309</v>
      </c>
      <c r="AY25" s="6" t="s">
        <v>1761</v>
      </c>
      <c r="AZ25" s="6" t="s">
        <v>322</v>
      </c>
      <c r="BA25" s="6" t="s">
        <v>1762</v>
      </c>
      <c r="BB25" s="6" t="s">
        <v>293</v>
      </c>
      <c r="BC25" s="6" t="s">
        <v>1763</v>
      </c>
    </row>
    <row r="26" spans="1:55" ht="12.75">
      <c r="A26" s="5">
        <v>23</v>
      </c>
      <c r="B26" s="6" t="s">
        <v>293</v>
      </c>
      <c r="C26" s="6" t="s">
        <v>1764</v>
      </c>
      <c r="D26" s="6" t="s">
        <v>293</v>
      </c>
      <c r="E26" s="6" t="s">
        <v>1765</v>
      </c>
      <c r="F26" s="6" t="s">
        <v>293</v>
      </c>
      <c r="G26" s="6" t="s">
        <v>1766</v>
      </c>
      <c r="H26" s="6" t="s">
        <v>280</v>
      </c>
      <c r="I26" s="6" t="s">
        <v>1767</v>
      </c>
      <c r="J26" s="6" t="s">
        <v>280</v>
      </c>
      <c r="K26" s="6" t="s">
        <v>1768</v>
      </c>
      <c r="L26" s="6" t="s">
        <v>280</v>
      </c>
      <c r="M26" s="6" t="s">
        <v>1769</v>
      </c>
      <c r="N26" s="6" t="s">
        <v>293</v>
      </c>
      <c r="O26" s="6" t="s">
        <v>1770</v>
      </c>
      <c r="P26" s="6" t="s">
        <v>322</v>
      </c>
      <c r="Q26" s="6" t="s">
        <v>1771</v>
      </c>
      <c r="R26" s="6" t="s">
        <v>322</v>
      </c>
      <c r="S26" s="6" t="s">
        <v>1772</v>
      </c>
      <c r="T26" s="6" t="s">
        <v>309</v>
      </c>
      <c r="U26" s="6" t="s">
        <v>1773</v>
      </c>
      <c r="V26" s="6" t="s">
        <v>309</v>
      </c>
      <c r="W26" s="6" t="s">
        <v>1774</v>
      </c>
      <c r="X26" s="6" t="s">
        <v>309</v>
      </c>
      <c r="Y26" s="6" t="s">
        <v>1775</v>
      </c>
      <c r="Z26" s="6" t="s">
        <v>280</v>
      </c>
      <c r="AA26" s="6" t="s">
        <v>1776</v>
      </c>
      <c r="AB26" s="6" t="s">
        <v>309</v>
      </c>
      <c r="AC26" s="6" t="s">
        <v>1777</v>
      </c>
      <c r="AD26" s="8" t="s">
        <v>280</v>
      </c>
      <c r="AE26" s="6" t="s">
        <v>1778</v>
      </c>
      <c r="AF26" s="6" t="s">
        <v>293</v>
      </c>
      <c r="AG26" s="6" t="s">
        <v>1779</v>
      </c>
      <c r="AH26" s="6" t="s">
        <v>309</v>
      </c>
      <c r="AI26" s="6" t="s">
        <v>1780</v>
      </c>
      <c r="AJ26" s="6" t="s">
        <v>309</v>
      </c>
      <c r="AK26" s="6" t="s">
        <v>1781</v>
      </c>
      <c r="AL26" s="6" t="s">
        <v>293</v>
      </c>
      <c r="AM26" s="6" t="s">
        <v>1782</v>
      </c>
      <c r="AN26" s="6" t="s">
        <v>293</v>
      </c>
      <c r="AO26" s="6" t="s">
        <v>1783</v>
      </c>
      <c r="AP26" s="6" t="s">
        <v>293</v>
      </c>
      <c r="AQ26" s="6" t="s">
        <v>1784</v>
      </c>
      <c r="AR26" s="6" t="s">
        <v>252</v>
      </c>
      <c r="AS26" s="6" t="s">
        <v>1785</v>
      </c>
      <c r="AT26" s="6" t="s">
        <v>252</v>
      </c>
      <c r="AU26" s="6" t="s">
        <v>1786</v>
      </c>
      <c r="AV26" s="6" t="s">
        <v>252</v>
      </c>
      <c r="AW26" s="6" t="s">
        <v>1787</v>
      </c>
      <c r="AX26" s="6" t="s">
        <v>309</v>
      </c>
      <c r="AY26" s="6" t="s">
        <v>1788</v>
      </c>
      <c r="AZ26" s="6" t="s">
        <v>322</v>
      </c>
      <c r="BA26" s="6" t="s">
        <v>1789</v>
      </c>
      <c r="BB26" s="6" t="s">
        <v>293</v>
      </c>
      <c r="BC26" s="6" t="s">
        <v>1790</v>
      </c>
    </row>
    <row r="27" spans="1:55" ht="12.75">
      <c r="A27" s="5">
        <v>24</v>
      </c>
      <c r="B27" s="6" t="s">
        <v>322</v>
      </c>
      <c r="C27" s="6" t="s">
        <v>1791</v>
      </c>
      <c r="D27" s="6" t="s">
        <v>322</v>
      </c>
      <c r="E27" s="6" t="s">
        <v>1792</v>
      </c>
      <c r="F27" s="6" t="s">
        <v>322</v>
      </c>
      <c r="G27" s="6" t="s">
        <v>1793</v>
      </c>
      <c r="H27" s="6" t="s">
        <v>322</v>
      </c>
      <c r="I27" s="6" t="s">
        <v>1794</v>
      </c>
      <c r="J27" s="6" t="s">
        <v>322</v>
      </c>
      <c r="K27" s="6" t="s">
        <v>1795</v>
      </c>
      <c r="L27" s="6" t="s">
        <v>322</v>
      </c>
      <c r="M27" s="6" t="s">
        <v>1796</v>
      </c>
      <c r="N27" s="6" t="s">
        <v>322</v>
      </c>
      <c r="O27" s="6" t="s">
        <v>1797</v>
      </c>
      <c r="P27" s="6" t="s">
        <v>322</v>
      </c>
      <c r="Q27" s="6" t="s">
        <v>1798</v>
      </c>
      <c r="R27" s="6" t="s">
        <v>293</v>
      </c>
      <c r="S27" s="6" t="s">
        <v>1799</v>
      </c>
      <c r="T27" s="6" t="s">
        <v>309</v>
      </c>
      <c r="U27" s="6" t="s">
        <v>1800</v>
      </c>
      <c r="V27" s="6" t="s">
        <v>309</v>
      </c>
      <c r="W27" s="6" t="s">
        <v>1801</v>
      </c>
      <c r="X27" s="6" t="s">
        <v>309</v>
      </c>
      <c r="Y27" s="6" t="s">
        <v>1802</v>
      </c>
      <c r="Z27" s="6" t="s">
        <v>309</v>
      </c>
      <c r="AA27" s="6" t="s">
        <v>1803</v>
      </c>
      <c r="AB27" s="6" t="s">
        <v>309</v>
      </c>
      <c r="AC27" s="6" t="s">
        <v>1804</v>
      </c>
      <c r="AD27" s="8" t="s">
        <v>309</v>
      </c>
      <c r="AE27" s="6" t="s">
        <v>1805</v>
      </c>
      <c r="AF27" s="6" t="s">
        <v>293</v>
      </c>
      <c r="AG27" s="6" t="s">
        <v>1806</v>
      </c>
      <c r="AH27" s="6" t="s">
        <v>293</v>
      </c>
      <c r="AI27" s="6" t="s">
        <v>1807</v>
      </c>
      <c r="AJ27" s="6" t="s">
        <v>293</v>
      </c>
      <c r="AK27" s="6" t="s">
        <v>1808</v>
      </c>
      <c r="AL27" s="6" t="s">
        <v>322</v>
      </c>
      <c r="AM27" s="6" t="s">
        <v>1809</v>
      </c>
      <c r="AN27" s="6" t="s">
        <v>322</v>
      </c>
      <c r="AO27" s="6" t="s">
        <v>1810</v>
      </c>
      <c r="AP27" s="6" t="s">
        <v>322</v>
      </c>
      <c r="AQ27" s="6" t="s">
        <v>1811</v>
      </c>
      <c r="AR27" s="6" t="s">
        <v>252</v>
      </c>
      <c r="AS27" s="6" t="s">
        <v>1812</v>
      </c>
      <c r="AT27" s="6" t="s">
        <v>252</v>
      </c>
      <c r="AU27" s="6" t="s">
        <v>1813</v>
      </c>
      <c r="AV27" s="6" t="s">
        <v>252</v>
      </c>
      <c r="AW27" s="6" t="s">
        <v>1814</v>
      </c>
      <c r="AX27" s="6" t="s">
        <v>293</v>
      </c>
      <c r="AY27" s="6" t="s">
        <v>1815</v>
      </c>
      <c r="AZ27" s="6" t="s">
        <v>322</v>
      </c>
      <c r="BA27" s="6" t="s">
        <v>1816</v>
      </c>
      <c r="BB27" s="6" t="s">
        <v>293</v>
      </c>
      <c r="BC27" s="6" t="s">
        <v>1817</v>
      </c>
    </row>
    <row r="28" spans="1:55" ht="12.75">
      <c r="A28" s="5">
        <v>25</v>
      </c>
      <c r="B28" s="6" t="s">
        <v>293</v>
      </c>
      <c r="C28" s="6" t="s">
        <v>1818</v>
      </c>
      <c r="D28" s="6" t="s">
        <v>293</v>
      </c>
      <c r="E28" s="6" t="s">
        <v>1819</v>
      </c>
      <c r="F28" s="6" t="s">
        <v>293</v>
      </c>
      <c r="G28" s="6" t="s">
        <v>1820</v>
      </c>
      <c r="H28" s="6" t="s">
        <v>280</v>
      </c>
      <c r="I28" s="6" t="s">
        <v>1821</v>
      </c>
      <c r="J28" s="6" t="s">
        <v>280</v>
      </c>
      <c r="K28" s="6" t="s">
        <v>1822</v>
      </c>
      <c r="L28" s="6" t="s">
        <v>280</v>
      </c>
      <c r="M28" s="6" t="s">
        <v>1823</v>
      </c>
      <c r="N28" s="6" t="s">
        <v>322</v>
      </c>
      <c r="O28" s="6" t="s">
        <v>1824</v>
      </c>
      <c r="P28" s="6" t="s">
        <v>293</v>
      </c>
      <c r="Q28" s="6" t="s">
        <v>1825</v>
      </c>
      <c r="R28" s="6" t="s">
        <v>322</v>
      </c>
      <c r="S28" s="6" t="s">
        <v>1826</v>
      </c>
      <c r="T28" s="6" t="s">
        <v>309</v>
      </c>
      <c r="U28" s="6" t="s">
        <v>1827</v>
      </c>
      <c r="V28" s="6" t="s">
        <v>309</v>
      </c>
      <c r="W28" s="6" t="s">
        <v>1828</v>
      </c>
      <c r="X28" s="6" t="s">
        <v>309</v>
      </c>
      <c r="Y28" s="6" t="s">
        <v>1829</v>
      </c>
      <c r="Z28" s="6" t="s">
        <v>309</v>
      </c>
      <c r="AA28" s="6" t="s">
        <v>1830</v>
      </c>
      <c r="AB28" s="6" t="s">
        <v>309</v>
      </c>
      <c r="AC28" s="6" t="s">
        <v>1831</v>
      </c>
      <c r="AD28" s="8" t="s">
        <v>280</v>
      </c>
      <c r="AE28" s="6" t="s">
        <v>1832</v>
      </c>
      <c r="AF28" s="6" t="s">
        <v>293</v>
      </c>
      <c r="AG28" s="6" t="s">
        <v>1833</v>
      </c>
      <c r="AH28" s="6" t="s">
        <v>293</v>
      </c>
      <c r="AI28" s="6" t="s">
        <v>1834</v>
      </c>
      <c r="AJ28" s="6" t="s">
        <v>309</v>
      </c>
      <c r="AK28" s="6" t="s">
        <v>1835</v>
      </c>
      <c r="AL28" s="6" t="s">
        <v>293</v>
      </c>
      <c r="AM28" s="6" t="s">
        <v>1836</v>
      </c>
      <c r="AN28" s="6" t="s">
        <v>293</v>
      </c>
      <c r="AO28" s="6" t="s">
        <v>1837</v>
      </c>
      <c r="AP28" s="6" t="s">
        <v>293</v>
      </c>
      <c r="AQ28" s="6" t="s">
        <v>1838</v>
      </c>
      <c r="AR28" s="6" t="s">
        <v>252</v>
      </c>
      <c r="AS28" s="6" t="s">
        <v>1839</v>
      </c>
      <c r="AT28" s="6" t="s">
        <v>252</v>
      </c>
      <c r="AU28" s="6" t="s">
        <v>1840</v>
      </c>
      <c r="AV28" s="6" t="s">
        <v>252</v>
      </c>
      <c r="AW28" s="6" t="s">
        <v>1841</v>
      </c>
      <c r="AX28" s="6" t="s">
        <v>293</v>
      </c>
      <c r="AY28" s="6" t="s">
        <v>1842</v>
      </c>
      <c r="AZ28" s="6" t="s">
        <v>352</v>
      </c>
      <c r="BA28" s="6" t="s">
        <v>1843</v>
      </c>
      <c r="BB28" s="6" t="s">
        <v>322</v>
      </c>
      <c r="BC28" s="6" t="s">
        <v>1844</v>
      </c>
    </row>
    <row r="29" spans="1:55" ht="12.75">
      <c r="A29" s="5">
        <v>26</v>
      </c>
      <c r="B29" s="6" t="s">
        <v>519</v>
      </c>
      <c r="C29" s="6" t="s">
        <v>1845</v>
      </c>
      <c r="D29" s="6" t="s">
        <v>519</v>
      </c>
      <c r="E29" s="6" t="s">
        <v>1846</v>
      </c>
      <c r="F29" s="6" t="s">
        <v>519</v>
      </c>
      <c r="G29" s="6" t="s">
        <v>1847</v>
      </c>
      <c r="H29" s="6" t="s">
        <v>521</v>
      </c>
      <c r="I29" s="6" t="s">
        <v>1848</v>
      </c>
      <c r="J29" s="6" t="s">
        <v>521</v>
      </c>
      <c r="K29" s="6" t="s">
        <v>1849</v>
      </c>
      <c r="L29" s="6" t="s">
        <v>521</v>
      </c>
      <c r="M29" s="6" t="s">
        <v>1850</v>
      </c>
      <c r="N29" s="6" t="s">
        <v>521</v>
      </c>
      <c r="O29" s="6" t="s">
        <v>1851</v>
      </c>
      <c r="P29" s="6" t="s">
        <v>519</v>
      </c>
      <c r="Q29" s="6" t="s">
        <v>1852</v>
      </c>
      <c r="R29" s="6" t="s">
        <v>521</v>
      </c>
      <c r="S29" s="6" t="s">
        <v>1853</v>
      </c>
      <c r="T29" s="6" t="s">
        <v>595</v>
      </c>
      <c r="U29" s="6" t="s">
        <v>1854</v>
      </c>
      <c r="V29" s="6" t="s">
        <v>595</v>
      </c>
      <c r="W29" s="6" t="s">
        <v>1855</v>
      </c>
      <c r="X29" s="6" t="s">
        <v>595</v>
      </c>
      <c r="Y29" s="6" t="s">
        <v>1856</v>
      </c>
      <c r="Z29" s="6" t="s">
        <v>492</v>
      </c>
      <c r="AA29" s="6" t="s">
        <v>1857</v>
      </c>
      <c r="AB29" s="6" t="s">
        <v>564</v>
      </c>
      <c r="AC29" s="6" t="s">
        <v>1858</v>
      </c>
      <c r="AD29" s="8" t="s">
        <v>564</v>
      </c>
      <c r="AE29" s="6" t="s">
        <v>1859</v>
      </c>
      <c r="AF29" s="6" t="s">
        <v>595</v>
      </c>
      <c r="AG29" s="6" t="s">
        <v>1860</v>
      </c>
      <c r="AH29" s="6" t="s">
        <v>521</v>
      </c>
      <c r="AI29" s="6" t="s">
        <v>1861</v>
      </c>
      <c r="AJ29" s="6" t="s">
        <v>595</v>
      </c>
      <c r="AK29" s="6" t="s">
        <v>1862</v>
      </c>
      <c r="AL29" s="6" t="s">
        <v>519</v>
      </c>
      <c r="AM29" s="6" t="s">
        <v>1863</v>
      </c>
      <c r="AN29" s="6" t="s">
        <v>519</v>
      </c>
      <c r="AO29" s="6" t="s">
        <v>1864</v>
      </c>
      <c r="AP29" s="6" t="s">
        <v>519</v>
      </c>
      <c r="AQ29" s="6" t="s">
        <v>1865</v>
      </c>
      <c r="AR29" s="6" t="s">
        <v>490</v>
      </c>
      <c r="AS29" s="6" t="s">
        <v>1866</v>
      </c>
      <c r="AT29" s="6" t="s">
        <v>490</v>
      </c>
      <c r="AU29" s="6" t="s">
        <v>1867</v>
      </c>
      <c r="AV29" s="6" t="s">
        <v>490</v>
      </c>
      <c r="AW29" s="6" t="s">
        <v>1868</v>
      </c>
      <c r="AX29" s="6" t="s">
        <v>519</v>
      </c>
      <c r="AY29" s="6" t="s">
        <v>1869</v>
      </c>
      <c r="AZ29" s="6" t="s">
        <v>595</v>
      </c>
      <c r="BA29" s="6" t="s">
        <v>1870</v>
      </c>
      <c r="BB29" s="6" t="s">
        <v>519</v>
      </c>
      <c r="BC29" s="6" t="s">
        <v>1871</v>
      </c>
    </row>
    <row r="30" spans="1:55" ht="12.75">
      <c r="A30" s="5">
        <v>27</v>
      </c>
      <c r="B30" s="6" t="s">
        <v>781</v>
      </c>
      <c r="C30" s="6" t="s">
        <v>1872</v>
      </c>
      <c r="D30" s="6" t="s">
        <v>781</v>
      </c>
      <c r="E30" s="6" t="s">
        <v>1873</v>
      </c>
      <c r="F30" s="6" t="s">
        <v>781</v>
      </c>
      <c r="G30" s="6" t="s">
        <v>1874</v>
      </c>
      <c r="H30" s="6" t="s">
        <v>776</v>
      </c>
      <c r="I30" s="6" t="s">
        <v>1875</v>
      </c>
      <c r="J30" s="6" t="s">
        <v>776</v>
      </c>
      <c r="K30" s="6" t="s">
        <v>1876</v>
      </c>
      <c r="L30" s="6" t="s">
        <v>776</v>
      </c>
      <c r="M30" s="6" t="s">
        <v>1877</v>
      </c>
      <c r="N30" s="6" t="s">
        <v>776</v>
      </c>
      <c r="O30" s="6" t="s">
        <v>1878</v>
      </c>
      <c r="P30" s="6" t="s">
        <v>776</v>
      </c>
      <c r="Q30" s="6" t="s">
        <v>1879</v>
      </c>
      <c r="R30" s="6" t="s">
        <v>781</v>
      </c>
      <c r="S30" s="6" t="s">
        <v>1880</v>
      </c>
      <c r="T30" s="6" t="s">
        <v>776</v>
      </c>
      <c r="U30" s="6" t="s">
        <v>1881</v>
      </c>
      <c r="V30" s="6" t="s">
        <v>776</v>
      </c>
      <c r="W30" s="6" t="s">
        <v>1882</v>
      </c>
      <c r="X30" s="6" t="s">
        <v>776</v>
      </c>
      <c r="Y30" s="6" t="s">
        <v>1883</v>
      </c>
      <c r="Z30" s="6" t="s">
        <v>770</v>
      </c>
      <c r="AA30" s="6" t="s">
        <v>1884</v>
      </c>
      <c r="AB30" s="6" t="s">
        <v>579</v>
      </c>
      <c r="AC30" s="6" t="s">
        <v>1885</v>
      </c>
      <c r="AD30" s="8" t="s">
        <v>579</v>
      </c>
      <c r="AE30" s="6" t="s">
        <v>1886</v>
      </c>
      <c r="AF30" s="6" t="s">
        <v>770</v>
      </c>
      <c r="AG30" s="6" t="s">
        <v>1887</v>
      </c>
      <c r="AH30" s="6" t="s">
        <v>770</v>
      </c>
      <c r="AI30" s="6" t="s">
        <v>1888</v>
      </c>
      <c r="AJ30" s="6" t="s">
        <v>776</v>
      </c>
      <c r="AK30" s="6" t="s">
        <v>1889</v>
      </c>
      <c r="AL30" s="6" t="s">
        <v>781</v>
      </c>
      <c r="AM30" s="6" t="s">
        <v>1890</v>
      </c>
      <c r="AN30" s="6" t="s">
        <v>781</v>
      </c>
      <c r="AO30" s="6" t="s">
        <v>1891</v>
      </c>
      <c r="AP30" s="6" t="s">
        <v>781</v>
      </c>
      <c r="AQ30" s="6" t="s">
        <v>1892</v>
      </c>
      <c r="AR30" s="6" t="s">
        <v>579</v>
      </c>
      <c r="AS30" s="6" t="s">
        <v>1893</v>
      </c>
      <c r="AT30" s="6" t="s">
        <v>579</v>
      </c>
      <c r="AU30" s="6" t="s">
        <v>1894</v>
      </c>
      <c r="AV30" s="6" t="s">
        <v>577</v>
      </c>
      <c r="AW30" s="6" t="s">
        <v>1895</v>
      </c>
      <c r="AX30" s="6" t="s">
        <v>781</v>
      </c>
      <c r="AY30" s="6" t="s">
        <v>1896</v>
      </c>
      <c r="AZ30" s="6" t="s">
        <v>776</v>
      </c>
      <c r="BA30" s="6" t="s">
        <v>1897</v>
      </c>
      <c r="BB30" s="6" t="s">
        <v>781</v>
      </c>
      <c r="BC30" s="6" t="s">
        <v>1898</v>
      </c>
    </row>
    <row r="31" spans="1:55" ht="12.75">
      <c r="A31" s="5">
        <v>28</v>
      </c>
      <c r="B31" s="6" t="s">
        <v>813</v>
      </c>
      <c r="C31" s="6" t="s">
        <v>1899</v>
      </c>
      <c r="D31" s="6" t="s">
        <v>813</v>
      </c>
      <c r="E31" s="6" t="s">
        <v>1900</v>
      </c>
      <c r="F31" s="6" t="s">
        <v>813</v>
      </c>
      <c r="G31" s="6" t="s">
        <v>1901</v>
      </c>
      <c r="H31" s="6" t="s">
        <v>727</v>
      </c>
      <c r="I31" s="6" t="s">
        <v>1902</v>
      </c>
      <c r="J31" s="6" t="s">
        <v>727</v>
      </c>
      <c r="K31" s="6" t="s">
        <v>1903</v>
      </c>
      <c r="L31" s="6" t="s">
        <v>727</v>
      </c>
      <c r="M31" s="6" t="s">
        <v>1904</v>
      </c>
      <c r="N31" s="6" t="s">
        <v>828</v>
      </c>
      <c r="O31" s="6" t="s">
        <v>1905</v>
      </c>
      <c r="P31" s="6" t="s">
        <v>828</v>
      </c>
      <c r="Q31" s="6" t="s">
        <v>1906</v>
      </c>
      <c r="R31" s="6" t="s">
        <v>727</v>
      </c>
      <c r="S31" s="6" t="s">
        <v>1907</v>
      </c>
      <c r="T31" s="6" t="s">
        <v>724</v>
      </c>
      <c r="U31" s="6" t="s">
        <v>1908</v>
      </c>
      <c r="V31" s="6" t="s">
        <v>724</v>
      </c>
      <c r="W31" s="6" t="s">
        <v>1909</v>
      </c>
      <c r="X31" s="6" t="s">
        <v>724</v>
      </c>
      <c r="Y31" s="6" t="s">
        <v>1910</v>
      </c>
      <c r="Z31" s="6" t="s">
        <v>724</v>
      </c>
      <c r="AA31" s="6" t="s">
        <v>1911</v>
      </c>
      <c r="AB31" s="6" t="s">
        <v>724</v>
      </c>
      <c r="AC31" s="6" t="s">
        <v>1912</v>
      </c>
      <c r="AD31" s="8" t="s">
        <v>695</v>
      </c>
      <c r="AE31" s="6" t="s">
        <v>1913</v>
      </c>
      <c r="AF31" s="6" t="s">
        <v>724</v>
      </c>
      <c r="AG31" s="6" t="s">
        <v>1914</v>
      </c>
      <c r="AH31" s="6" t="s">
        <v>724</v>
      </c>
      <c r="AI31" s="6" t="s">
        <v>1915</v>
      </c>
      <c r="AJ31" s="6" t="s">
        <v>724</v>
      </c>
      <c r="AK31" s="6" t="s">
        <v>1916</v>
      </c>
      <c r="AL31" s="6" t="s">
        <v>813</v>
      </c>
      <c r="AM31" s="6" t="s">
        <v>1917</v>
      </c>
      <c r="AN31" s="6" t="s">
        <v>813</v>
      </c>
      <c r="AO31" s="6" t="s">
        <v>1918</v>
      </c>
      <c r="AP31" s="6" t="s">
        <v>813</v>
      </c>
      <c r="AQ31" s="6" t="s">
        <v>1919</v>
      </c>
      <c r="AR31" s="6" t="s">
        <v>811</v>
      </c>
      <c r="AS31" s="6" t="s">
        <v>1920</v>
      </c>
      <c r="AT31" s="6" t="s">
        <v>811</v>
      </c>
      <c r="AU31" s="6" t="s">
        <v>1921</v>
      </c>
      <c r="AV31" s="6" t="s">
        <v>665</v>
      </c>
      <c r="AW31" s="6" t="s">
        <v>1922</v>
      </c>
      <c r="AX31" s="6" t="s">
        <v>727</v>
      </c>
      <c r="AY31" s="6" t="s">
        <v>1923</v>
      </c>
      <c r="AZ31" s="6" t="s">
        <v>727</v>
      </c>
      <c r="BA31" s="6" t="s">
        <v>1924</v>
      </c>
      <c r="BB31" s="6" t="s">
        <v>813</v>
      </c>
      <c r="BC31" s="6" t="s">
        <v>1925</v>
      </c>
    </row>
    <row r="32" spans="1:55" ht="12.75">
      <c r="A32" s="5">
        <v>29</v>
      </c>
      <c r="B32" s="6" t="s">
        <v>858</v>
      </c>
      <c r="C32" s="6" t="s">
        <v>1926</v>
      </c>
      <c r="D32" s="6" t="s">
        <v>858</v>
      </c>
      <c r="E32" s="6" t="s">
        <v>1927</v>
      </c>
      <c r="F32" s="6" t="s">
        <v>858</v>
      </c>
      <c r="G32" s="6" t="s">
        <v>1928</v>
      </c>
      <c r="H32" s="6" t="s">
        <v>858</v>
      </c>
      <c r="I32" s="6" t="s">
        <v>1929</v>
      </c>
      <c r="J32" s="6" t="s">
        <v>858</v>
      </c>
      <c r="K32" s="6" t="s">
        <v>1930</v>
      </c>
      <c r="L32" s="6" t="s">
        <v>858</v>
      </c>
      <c r="M32" s="6" t="s">
        <v>1931</v>
      </c>
      <c r="N32" s="6" t="s">
        <v>858</v>
      </c>
      <c r="O32" s="6" t="s">
        <v>1932</v>
      </c>
      <c r="P32" s="6" t="s">
        <v>858</v>
      </c>
      <c r="Q32" s="6" t="s">
        <v>1933</v>
      </c>
      <c r="R32" s="6" t="s">
        <v>858</v>
      </c>
      <c r="S32" s="6" t="s">
        <v>1934</v>
      </c>
      <c r="T32" s="6" t="s">
        <v>846</v>
      </c>
      <c r="U32" s="6" t="s">
        <v>1935</v>
      </c>
      <c r="V32" s="6" t="s">
        <v>846</v>
      </c>
      <c r="W32" s="6" t="s">
        <v>1936</v>
      </c>
      <c r="X32" s="6" t="s">
        <v>836</v>
      </c>
      <c r="Y32" s="6" t="s">
        <v>1937</v>
      </c>
      <c r="Z32" s="6" t="s">
        <v>836</v>
      </c>
      <c r="AA32" s="6" t="s">
        <v>1938</v>
      </c>
      <c r="AB32" s="6" t="s">
        <v>836</v>
      </c>
      <c r="AC32" s="6" t="s">
        <v>1939</v>
      </c>
      <c r="AD32" s="8" t="s">
        <v>836</v>
      </c>
      <c r="AE32" s="6" t="s">
        <v>1940</v>
      </c>
      <c r="AF32" s="6" t="s">
        <v>838</v>
      </c>
      <c r="AG32" s="6" t="s">
        <v>1941</v>
      </c>
      <c r="AH32" s="6" t="s">
        <v>838</v>
      </c>
      <c r="AI32" s="6" t="s">
        <v>1942</v>
      </c>
      <c r="AJ32" s="6" t="s">
        <v>838</v>
      </c>
      <c r="AK32" s="6" t="s">
        <v>1943</v>
      </c>
      <c r="AL32" s="6" t="s">
        <v>846</v>
      </c>
      <c r="AM32" s="6" t="s">
        <v>1944</v>
      </c>
      <c r="AN32" s="6" t="s">
        <v>846</v>
      </c>
      <c r="AO32" s="6" t="s">
        <v>1945</v>
      </c>
      <c r="AP32" s="6" t="s">
        <v>858</v>
      </c>
      <c r="AQ32" s="6" t="s">
        <v>1946</v>
      </c>
      <c r="AR32" s="6" t="s">
        <v>848</v>
      </c>
      <c r="AS32" s="6" t="s">
        <v>1947</v>
      </c>
      <c r="AT32" s="6" t="s">
        <v>1948</v>
      </c>
      <c r="AU32" s="6" t="s">
        <v>1949</v>
      </c>
      <c r="AV32" s="6" t="s">
        <v>838</v>
      </c>
      <c r="AW32" s="6" t="s">
        <v>1950</v>
      </c>
      <c r="AX32" s="6" t="s">
        <v>846</v>
      </c>
      <c r="AY32" s="6" t="s">
        <v>1951</v>
      </c>
      <c r="AZ32" s="6" t="s">
        <v>858</v>
      </c>
      <c r="BA32" s="6" t="s">
        <v>1952</v>
      </c>
      <c r="BB32" s="6" t="s">
        <v>838</v>
      </c>
      <c r="BC32" s="6" t="s">
        <v>1953</v>
      </c>
    </row>
    <row r="33" spans="1:55" ht="12.75">
      <c r="A33" s="5">
        <v>30</v>
      </c>
      <c r="B33" s="6" t="s">
        <v>874</v>
      </c>
      <c r="C33" s="6" t="s">
        <v>1954</v>
      </c>
      <c r="D33" s="6" t="s">
        <v>874</v>
      </c>
      <c r="E33" s="6" t="s">
        <v>1955</v>
      </c>
      <c r="F33" s="6" t="s">
        <v>874</v>
      </c>
      <c r="G33" s="6" t="s">
        <v>1956</v>
      </c>
      <c r="H33" s="6" t="s">
        <v>885</v>
      </c>
      <c r="I33" s="6" t="s">
        <v>1957</v>
      </c>
      <c r="J33" s="6" t="s">
        <v>885</v>
      </c>
      <c r="K33" s="6" t="s">
        <v>1958</v>
      </c>
      <c r="L33" s="6" t="s">
        <v>885</v>
      </c>
      <c r="M33" s="6" t="s">
        <v>1959</v>
      </c>
      <c r="N33" s="6" t="s">
        <v>874</v>
      </c>
      <c r="O33" s="6" t="s">
        <v>1960</v>
      </c>
      <c r="P33" s="6" t="s">
        <v>905</v>
      </c>
      <c r="Q33" s="6" t="s">
        <v>1961</v>
      </c>
      <c r="R33" s="6" t="s">
        <v>874</v>
      </c>
      <c r="S33" s="6" t="s">
        <v>1962</v>
      </c>
      <c r="T33" s="6" t="s">
        <v>874</v>
      </c>
      <c r="U33" s="6" t="s">
        <v>1963</v>
      </c>
      <c r="V33" s="6" t="s">
        <v>905</v>
      </c>
      <c r="W33" s="6" t="s">
        <v>1964</v>
      </c>
      <c r="X33" s="6" t="s">
        <v>874</v>
      </c>
      <c r="Y33" s="6" t="s">
        <v>1965</v>
      </c>
      <c r="Z33" s="6" t="s">
        <v>871</v>
      </c>
      <c r="AA33" s="6" t="s">
        <v>1966</v>
      </c>
      <c r="AB33" s="6" t="s">
        <v>874</v>
      </c>
      <c r="AC33" s="6" t="s">
        <v>1967</v>
      </c>
      <c r="AD33" s="6" t="s">
        <v>874</v>
      </c>
      <c r="AE33" s="6" t="s">
        <v>1968</v>
      </c>
      <c r="AF33" s="6" t="s">
        <v>880</v>
      </c>
      <c r="AG33" s="6" t="s">
        <v>1969</v>
      </c>
      <c r="AH33" s="6" t="s">
        <v>876</v>
      </c>
      <c r="AI33" s="6" t="s">
        <v>1970</v>
      </c>
      <c r="AJ33" s="6" t="s">
        <v>876</v>
      </c>
      <c r="AK33" s="6" t="s">
        <v>1971</v>
      </c>
      <c r="AL33" s="6" t="s">
        <v>901</v>
      </c>
      <c r="AM33" s="6" t="s">
        <v>1972</v>
      </c>
      <c r="AN33" s="6" t="s">
        <v>874</v>
      </c>
      <c r="AO33" s="6" t="s">
        <v>1973</v>
      </c>
      <c r="AP33" s="6" t="s">
        <v>874</v>
      </c>
      <c r="AQ33" s="6" t="s">
        <v>1974</v>
      </c>
      <c r="AR33" s="6" t="s">
        <v>905</v>
      </c>
      <c r="AS33" s="6" t="s">
        <v>1975</v>
      </c>
      <c r="AT33" s="6" t="s">
        <v>876</v>
      </c>
      <c r="AU33" s="6" t="s">
        <v>1976</v>
      </c>
      <c r="AV33" s="6" t="s">
        <v>876</v>
      </c>
      <c r="AW33" s="6" t="s">
        <v>1977</v>
      </c>
      <c r="AX33" s="6" t="s">
        <v>1978</v>
      </c>
      <c r="AY33" s="6" t="s">
        <v>1979</v>
      </c>
      <c r="AZ33" s="6" t="s">
        <v>901</v>
      </c>
      <c r="BA33" s="6" t="s">
        <v>1980</v>
      </c>
      <c r="BB33" s="6" t="s">
        <v>1981</v>
      </c>
      <c r="BC33" s="6" t="s">
        <v>1982</v>
      </c>
    </row>
    <row r="34" spans="1:55" ht="12.75">
      <c r="A34" s="5">
        <v>31</v>
      </c>
      <c r="B34" s="6" t="s">
        <v>921</v>
      </c>
      <c r="C34" s="6" t="s">
        <v>1983</v>
      </c>
      <c r="D34" s="6" t="s">
        <v>921</v>
      </c>
      <c r="E34" s="6" t="s">
        <v>1984</v>
      </c>
      <c r="F34" s="6" t="s">
        <v>921</v>
      </c>
      <c r="G34" s="6" t="s">
        <v>1985</v>
      </c>
      <c r="H34" s="6" t="s">
        <v>934</v>
      </c>
      <c r="I34" s="6" t="s">
        <v>1986</v>
      </c>
      <c r="J34" s="6" t="s">
        <v>934</v>
      </c>
      <c r="K34" s="6" t="s">
        <v>1987</v>
      </c>
      <c r="L34" s="6" t="s">
        <v>934</v>
      </c>
      <c r="M34" s="6" t="s">
        <v>1988</v>
      </c>
      <c r="N34" s="6" t="s">
        <v>921</v>
      </c>
      <c r="O34" s="6" t="s">
        <v>1989</v>
      </c>
      <c r="P34" s="6" t="s">
        <v>954</v>
      </c>
      <c r="Q34" s="6" t="s">
        <v>1990</v>
      </c>
      <c r="R34" s="6" t="s">
        <v>914</v>
      </c>
      <c r="S34" s="6" t="s">
        <v>1991</v>
      </c>
      <c r="T34" s="6" t="s">
        <v>954</v>
      </c>
      <c r="U34" s="6" t="s">
        <v>1992</v>
      </c>
      <c r="V34" s="6" t="s">
        <v>914</v>
      </c>
      <c r="W34" s="6" t="s">
        <v>1993</v>
      </c>
      <c r="X34" s="6" t="s">
        <v>972</v>
      </c>
      <c r="Y34" s="6" t="s">
        <v>1994</v>
      </c>
      <c r="Z34" s="6" t="s">
        <v>911</v>
      </c>
      <c r="AA34" s="6" t="s">
        <v>1995</v>
      </c>
      <c r="AB34" s="6" t="s">
        <v>909</v>
      </c>
      <c r="AC34" s="6" t="s">
        <v>1996</v>
      </c>
      <c r="AD34" s="6" t="s">
        <v>909</v>
      </c>
      <c r="AE34" s="6" t="s">
        <v>1997</v>
      </c>
      <c r="AF34" s="6" t="s">
        <v>914</v>
      </c>
      <c r="AG34" s="6" t="s">
        <v>1998</v>
      </c>
      <c r="AH34" s="6" t="s">
        <v>909</v>
      </c>
      <c r="AI34" s="6" t="s">
        <v>1999</v>
      </c>
      <c r="AJ34" s="6" t="s">
        <v>909</v>
      </c>
      <c r="AK34" s="6" t="s">
        <v>2000</v>
      </c>
      <c r="AL34" s="6" t="s">
        <v>921</v>
      </c>
      <c r="AM34" s="6" t="s">
        <v>2001</v>
      </c>
      <c r="AN34" s="6" t="s">
        <v>972</v>
      </c>
      <c r="AO34" s="6" t="s">
        <v>2002</v>
      </c>
      <c r="AP34" s="6" t="s">
        <v>938</v>
      </c>
      <c r="AQ34" s="6" t="s">
        <v>2003</v>
      </c>
      <c r="AR34" s="6" t="s">
        <v>914</v>
      </c>
      <c r="AS34" s="6" t="s">
        <v>2004</v>
      </c>
      <c r="AT34" s="6" t="s">
        <v>954</v>
      </c>
      <c r="AU34" s="6" t="s">
        <v>2005</v>
      </c>
      <c r="AV34" s="6" t="s">
        <v>914</v>
      </c>
      <c r="AW34" s="6" t="s">
        <v>2006</v>
      </c>
      <c r="AX34" s="6" t="s">
        <v>2007</v>
      </c>
      <c r="AY34" s="6" t="s">
        <v>2008</v>
      </c>
      <c r="AZ34" s="6" t="s">
        <v>954</v>
      </c>
      <c r="BA34" s="6" t="s">
        <v>2009</v>
      </c>
      <c r="BB34" s="6" t="s">
        <v>921</v>
      </c>
      <c r="BC34" s="6" t="s">
        <v>2010</v>
      </c>
    </row>
    <row r="35" spans="1:55" ht="12.75">
      <c r="A35" s="5">
        <v>32</v>
      </c>
      <c r="B35" s="6" t="s">
        <v>954</v>
      </c>
      <c r="C35" s="6" t="s">
        <v>2011</v>
      </c>
      <c r="D35" s="6" t="s">
        <v>954</v>
      </c>
      <c r="E35" s="6" t="s">
        <v>2012</v>
      </c>
      <c r="F35" s="6" t="s">
        <v>954</v>
      </c>
      <c r="G35" s="6" t="s">
        <v>2013</v>
      </c>
      <c r="H35" s="6" t="s">
        <v>968</v>
      </c>
      <c r="I35" s="6" t="s">
        <v>2014</v>
      </c>
      <c r="J35" s="6" t="s">
        <v>968</v>
      </c>
      <c r="K35" s="6" t="s">
        <v>2015</v>
      </c>
      <c r="L35" s="6" t="s">
        <v>968</v>
      </c>
      <c r="M35" s="6" t="s">
        <v>2016</v>
      </c>
      <c r="N35" s="6" t="s">
        <v>2007</v>
      </c>
      <c r="O35" s="6" t="s">
        <v>2017</v>
      </c>
      <c r="P35" s="6" t="s">
        <v>938</v>
      </c>
      <c r="Q35" s="6" t="s">
        <v>2018</v>
      </c>
      <c r="R35" s="6" t="s">
        <v>921</v>
      </c>
      <c r="S35" s="6" t="s">
        <v>2019</v>
      </c>
      <c r="T35" s="6" t="s">
        <v>954</v>
      </c>
      <c r="U35" s="6" t="s">
        <v>2020</v>
      </c>
      <c r="V35" s="6" t="s">
        <v>914</v>
      </c>
      <c r="W35" s="6" t="s">
        <v>2021</v>
      </c>
      <c r="X35" s="6" t="s">
        <v>954</v>
      </c>
      <c r="Y35" s="6" t="s">
        <v>2022</v>
      </c>
      <c r="Z35" s="6" t="s">
        <v>909</v>
      </c>
      <c r="AA35" s="6" t="s">
        <v>2023</v>
      </c>
      <c r="AB35" s="6" t="s">
        <v>914</v>
      </c>
      <c r="AC35" s="6" t="s">
        <v>2024</v>
      </c>
      <c r="AD35" s="6" t="s">
        <v>914</v>
      </c>
      <c r="AE35" s="6" t="s">
        <v>2025</v>
      </c>
      <c r="AF35" s="6" t="s">
        <v>914</v>
      </c>
      <c r="AG35" s="6" t="s">
        <v>2026</v>
      </c>
      <c r="AH35" s="6" t="s">
        <v>914</v>
      </c>
      <c r="AI35" s="6" t="s">
        <v>2027</v>
      </c>
      <c r="AJ35" s="6" t="s">
        <v>914</v>
      </c>
      <c r="AK35" s="6" t="s">
        <v>2028</v>
      </c>
      <c r="AL35" s="6" t="s">
        <v>921</v>
      </c>
      <c r="AM35" s="6" t="s">
        <v>2029</v>
      </c>
      <c r="AN35" s="6" t="s">
        <v>938</v>
      </c>
      <c r="AO35" s="6" t="s">
        <v>2030</v>
      </c>
      <c r="AP35" s="6" t="s">
        <v>954</v>
      </c>
      <c r="AQ35" s="6" t="s">
        <v>2031</v>
      </c>
      <c r="AR35" s="6" t="s">
        <v>2032</v>
      </c>
      <c r="AS35" s="6" t="s">
        <v>2033</v>
      </c>
      <c r="AT35" s="6" t="s">
        <v>938</v>
      </c>
      <c r="AU35" s="6" t="s">
        <v>2034</v>
      </c>
      <c r="AV35" s="6" t="s">
        <v>2035</v>
      </c>
      <c r="AW35" s="6" t="s">
        <v>2036</v>
      </c>
      <c r="AX35" s="6" t="s">
        <v>972</v>
      </c>
      <c r="AY35" s="6" t="s">
        <v>2037</v>
      </c>
      <c r="AZ35" s="6" t="s">
        <v>972</v>
      </c>
      <c r="BA35" s="6" t="s">
        <v>2038</v>
      </c>
      <c r="BB35" s="6" t="s">
        <v>2039</v>
      </c>
      <c r="BC35" s="6" t="s">
        <v>2040</v>
      </c>
    </row>
    <row r="36" spans="1:55" ht="12.75">
      <c r="A36" s="5">
        <v>33</v>
      </c>
      <c r="B36" s="6" t="s">
        <v>1000</v>
      </c>
      <c r="C36" s="6" t="s">
        <v>2041</v>
      </c>
      <c r="D36" s="6" t="s">
        <v>1000</v>
      </c>
      <c r="E36" s="6" t="s">
        <v>2042</v>
      </c>
      <c r="F36" s="6" t="s">
        <v>1000</v>
      </c>
      <c r="G36" s="6" t="s">
        <v>2043</v>
      </c>
      <c r="H36" s="6" t="s">
        <v>1004</v>
      </c>
      <c r="I36" s="6" t="s">
        <v>2044</v>
      </c>
      <c r="J36" s="6" t="s">
        <v>1004</v>
      </c>
      <c r="K36" s="6" t="s">
        <v>2045</v>
      </c>
      <c r="L36" s="6" t="s">
        <v>1004</v>
      </c>
      <c r="M36" s="6" t="s">
        <v>2046</v>
      </c>
      <c r="N36" s="6" t="s">
        <v>1000</v>
      </c>
      <c r="O36" s="6" t="s">
        <v>2047</v>
      </c>
      <c r="P36" s="6" t="s">
        <v>2048</v>
      </c>
      <c r="Q36" s="6" t="s">
        <v>2049</v>
      </c>
      <c r="R36" s="6" t="s">
        <v>2048</v>
      </c>
      <c r="S36" s="6" t="s">
        <v>2050</v>
      </c>
      <c r="T36" s="6" t="s">
        <v>2048</v>
      </c>
      <c r="U36" s="6" t="s">
        <v>2051</v>
      </c>
      <c r="V36" s="6" t="s">
        <v>2048</v>
      </c>
      <c r="W36" s="6" t="s">
        <v>2052</v>
      </c>
      <c r="X36" s="6" t="s">
        <v>985</v>
      </c>
      <c r="Y36" s="6" t="s">
        <v>2053</v>
      </c>
      <c r="Z36" s="6" t="s">
        <v>979</v>
      </c>
      <c r="AA36" s="6" t="s">
        <v>2054</v>
      </c>
      <c r="AB36" s="6" t="s">
        <v>982</v>
      </c>
      <c r="AC36" s="6" t="s">
        <v>2055</v>
      </c>
      <c r="AD36" s="6" t="s">
        <v>979</v>
      </c>
      <c r="AE36" s="6" t="s">
        <v>2056</v>
      </c>
      <c r="AF36" s="6" t="s">
        <v>985</v>
      </c>
      <c r="AG36" s="6" t="s">
        <v>2057</v>
      </c>
      <c r="AH36" s="6" t="s">
        <v>979</v>
      </c>
      <c r="AI36" s="6" t="s">
        <v>2058</v>
      </c>
      <c r="AJ36" s="6" t="s">
        <v>985</v>
      </c>
      <c r="AK36" s="6" t="s">
        <v>2059</v>
      </c>
      <c r="AL36" s="6" t="s">
        <v>1008</v>
      </c>
      <c r="AM36" s="6" t="s">
        <v>2060</v>
      </c>
      <c r="AN36" s="6" t="s">
        <v>1008</v>
      </c>
      <c r="AO36" s="6" t="s">
        <v>2061</v>
      </c>
      <c r="AP36" s="6" t="s">
        <v>2048</v>
      </c>
      <c r="AQ36" s="6" t="s">
        <v>2062</v>
      </c>
      <c r="AR36" s="6" t="s">
        <v>979</v>
      </c>
      <c r="AS36" s="6" t="s">
        <v>2063</v>
      </c>
      <c r="AT36" s="6" t="s">
        <v>982</v>
      </c>
      <c r="AU36" s="6" t="s">
        <v>2064</v>
      </c>
      <c r="AV36" s="6" t="s">
        <v>2065</v>
      </c>
      <c r="AW36" s="6" t="s">
        <v>2066</v>
      </c>
      <c r="AX36" s="6" t="s">
        <v>1000</v>
      </c>
      <c r="AY36" s="6" t="s">
        <v>2067</v>
      </c>
      <c r="AZ36" s="6" t="s">
        <v>2048</v>
      </c>
      <c r="BA36" s="6" t="s">
        <v>2068</v>
      </c>
      <c r="BB36" s="6" t="s">
        <v>1000</v>
      </c>
      <c r="BC36" s="6" t="s">
        <v>2069</v>
      </c>
    </row>
    <row r="37" spans="1:55" ht="12.75">
      <c r="A37" s="5">
        <v>34</v>
      </c>
      <c r="B37" s="6" t="s">
        <v>1037</v>
      </c>
      <c r="C37" s="6" t="s">
        <v>2070</v>
      </c>
      <c r="D37" s="6" t="s">
        <v>1037</v>
      </c>
      <c r="E37" s="6" t="s">
        <v>2071</v>
      </c>
      <c r="F37" s="6" t="s">
        <v>1037</v>
      </c>
      <c r="G37" s="6" t="s">
        <v>2072</v>
      </c>
      <c r="H37" s="6" t="s">
        <v>1041</v>
      </c>
      <c r="I37" s="6" t="s">
        <v>2073</v>
      </c>
      <c r="J37" s="6" t="s">
        <v>1041</v>
      </c>
      <c r="K37" s="6" t="s">
        <v>2074</v>
      </c>
      <c r="L37" s="6" t="s">
        <v>1041</v>
      </c>
      <c r="M37" s="6" t="s">
        <v>2075</v>
      </c>
      <c r="N37" s="6" t="s">
        <v>854</v>
      </c>
      <c r="O37" s="6" t="s">
        <v>2076</v>
      </c>
      <c r="P37" s="6" t="s">
        <v>2077</v>
      </c>
      <c r="Q37" s="6" t="s">
        <v>2078</v>
      </c>
      <c r="R37" s="6" t="s">
        <v>2079</v>
      </c>
      <c r="S37" s="6" t="s">
        <v>2080</v>
      </c>
      <c r="T37" s="6" t="s">
        <v>1037</v>
      </c>
      <c r="U37" s="6" t="s">
        <v>2081</v>
      </c>
      <c r="V37" s="6" t="s">
        <v>1037</v>
      </c>
      <c r="W37" s="6" t="s">
        <v>2082</v>
      </c>
      <c r="X37" s="6" t="s">
        <v>2077</v>
      </c>
      <c r="Y37" s="6" t="s">
        <v>2083</v>
      </c>
      <c r="Z37" s="6" t="s">
        <v>1015</v>
      </c>
      <c r="AA37" s="6" t="s">
        <v>2084</v>
      </c>
      <c r="AB37" s="6" t="s">
        <v>1015</v>
      </c>
      <c r="AC37" s="6" t="s">
        <v>2085</v>
      </c>
      <c r="AD37" s="6" t="s">
        <v>1015</v>
      </c>
      <c r="AE37" s="6" t="s">
        <v>2086</v>
      </c>
      <c r="AF37" s="6" t="s">
        <v>1015</v>
      </c>
      <c r="AG37" s="6" t="s">
        <v>2087</v>
      </c>
      <c r="AH37" s="6" t="s">
        <v>1015</v>
      </c>
      <c r="AI37" s="6" t="s">
        <v>2088</v>
      </c>
      <c r="AJ37" s="6" t="s">
        <v>1015</v>
      </c>
      <c r="AK37" s="6" t="s">
        <v>2089</v>
      </c>
      <c r="AL37" s="6" t="s">
        <v>2079</v>
      </c>
      <c r="AM37" s="6" t="s">
        <v>2090</v>
      </c>
      <c r="AN37" s="6" t="s">
        <v>1037</v>
      </c>
      <c r="AO37" s="6" t="s">
        <v>2091</v>
      </c>
      <c r="AP37" s="6" t="s">
        <v>1037</v>
      </c>
      <c r="AQ37" s="6" t="s">
        <v>2092</v>
      </c>
      <c r="AR37" s="6" t="s">
        <v>854</v>
      </c>
      <c r="AS37" s="6" t="s">
        <v>2093</v>
      </c>
      <c r="AT37" s="6" t="s">
        <v>2094</v>
      </c>
      <c r="AU37" s="6" t="s">
        <v>2095</v>
      </c>
      <c r="AV37" s="6" t="s">
        <v>2094</v>
      </c>
      <c r="AW37" s="6" t="s">
        <v>2096</v>
      </c>
      <c r="AX37" s="6" t="s">
        <v>854</v>
      </c>
      <c r="AY37" s="6" t="s">
        <v>2097</v>
      </c>
      <c r="AZ37" s="6" t="s">
        <v>2077</v>
      </c>
      <c r="BA37" s="6" t="s">
        <v>2098</v>
      </c>
      <c r="BB37" s="6" t="s">
        <v>854</v>
      </c>
      <c r="BC37" s="6" t="s">
        <v>2099</v>
      </c>
    </row>
    <row r="38" spans="1:55" ht="12.75">
      <c r="A38" s="5">
        <v>35</v>
      </c>
      <c r="B38" s="6" t="s">
        <v>1075</v>
      </c>
      <c r="C38" s="6" t="s">
        <v>2100</v>
      </c>
      <c r="D38" s="6" t="s">
        <v>1075</v>
      </c>
      <c r="E38" s="6" t="s">
        <v>2101</v>
      </c>
      <c r="F38" s="6" t="s">
        <v>1075</v>
      </c>
      <c r="G38" s="6" t="s">
        <v>2102</v>
      </c>
      <c r="H38" s="6" t="s">
        <v>1079</v>
      </c>
      <c r="I38" s="6" t="s">
        <v>2103</v>
      </c>
      <c r="J38" s="6" t="s">
        <v>1079</v>
      </c>
      <c r="K38" s="6" t="s">
        <v>2104</v>
      </c>
      <c r="L38" s="6" t="s">
        <v>1079</v>
      </c>
      <c r="M38" s="6" t="s">
        <v>2105</v>
      </c>
      <c r="N38" s="6" t="s">
        <v>2106</v>
      </c>
      <c r="O38" s="6" t="s">
        <v>2107</v>
      </c>
      <c r="P38" s="6" t="s">
        <v>2108</v>
      </c>
      <c r="Q38" s="6" t="s">
        <v>2109</v>
      </c>
      <c r="R38" s="6" t="s">
        <v>2110</v>
      </c>
      <c r="S38" s="6" t="s">
        <v>2111</v>
      </c>
      <c r="T38" s="6" t="s">
        <v>1067</v>
      </c>
      <c r="U38" s="6" t="s">
        <v>2112</v>
      </c>
      <c r="V38" s="6" t="s">
        <v>1075</v>
      </c>
      <c r="W38" s="6" t="s">
        <v>2113</v>
      </c>
      <c r="X38" s="6" t="s">
        <v>2114</v>
      </c>
      <c r="Y38" s="6" t="s">
        <v>2115</v>
      </c>
      <c r="Z38" s="6" t="s">
        <v>1051</v>
      </c>
      <c r="AA38" s="6" t="s">
        <v>2116</v>
      </c>
      <c r="AB38" s="6" t="s">
        <v>1054</v>
      </c>
      <c r="AC38" s="6" t="s">
        <v>2117</v>
      </c>
      <c r="AD38" s="6" t="s">
        <v>1054</v>
      </c>
      <c r="AE38" s="6" t="s">
        <v>2118</v>
      </c>
      <c r="AF38" s="6" t="s">
        <v>1056</v>
      </c>
      <c r="AG38" s="6" t="s">
        <v>2119</v>
      </c>
      <c r="AH38" s="6" t="s">
        <v>1056</v>
      </c>
      <c r="AI38" s="6" t="s">
        <v>2120</v>
      </c>
      <c r="AJ38" s="6" t="s">
        <v>1056</v>
      </c>
      <c r="AK38" s="6" t="s">
        <v>2121</v>
      </c>
      <c r="AL38" s="6" t="s">
        <v>1067</v>
      </c>
      <c r="AM38" s="6" t="s">
        <v>2122</v>
      </c>
      <c r="AN38" s="6" t="s">
        <v>1067</v>
      </c>
      <c r="AO38" s="6" t="s">
        <v>2123</v>
      </c>
      <c r="AP38" s="6" t="s">
        <v>1067</v>
      </c>
      <c r="AQ38" s="6" t="s">
        <v>2124</v>
      </c>
      <c r="AR38" s="6" t="s">
        <v>2125</v>
      </c>
      <c r="AS38" s="6" t="s">
        <v>2126</v>
      </c>
      <c r="AT38" s="6" t="s">
        <v>2114</v>
      </c>
      <c r="AU38" s="6" t="s">
        <v>2127</v>
      </c>
      <c r="AV38" s="6" t="s">
        <v>1067</v>
      </c>
      <c r="AW38" s="6" t="s">
        <v>2128</v>
      </c>
      <c r="AX38" s="6" t="s">
        <v>1062</v>
      </c>
      <c r="AY38" s="6" t="s">
        <v>2129</v>
      </c>
      <c r="AZ38" s="6" t="s">
        <v>1075</v>
      </c>
      <c r="BA38" s="6" t="s">
        <v>2130</v>
      </c>
      <c r="BB38" s="6" t="s">
        <v>1067</v>
      </c>
      <c r="BC38" s="6" t="s">
        <v>2131</v>
      </c>
    </row>
    <row r="39" spans="1:55" ht="12.75">
      <c r="A39" s="5">
        <v>36</v>
      </c>
      <c r="B39" s="6" t="s">
        <v>1021</v>
      </c>
      <c r="C39" s="6" t="s">
        <v>2132</v>
      </c>
      <c r="D39" s="6" t="s">
        <v>1021</v>
      </c>
      <c r="E39" s="6" t="s">
        <v>2133</v>
      </c>
      <c r="F39" s="6" t="s">
        <v>1021</v>
      </c>
      <c r="G39" s="6" t="s">
        <v>2134</v>
      </c>
      <c r="H39" s="6" t="s">
        <v>1114</v>
      </c>
      <c r="I39" s="6" t="s">
        <v>2135</v>
      </c>
      <c r="J39" s="6" t="s">
        <v>1114</v>
      </c>
      <c r="K39" s="6" t="s">
        <v>2136</v>
      </c>
      <c r="L39" s="6" t="s">
        <v>1114</v>
      </c>
      <c r="M39" s="6" t="s">
        <v>2137</v>
      </c>
      <c r="N39" s="6" t="s">
        <v>1029</v>
      </c>
      <c r="O39" s="6" t="s">
        <v>2138</v>
      </c>
      <c r="P39" s="6" t="s">
        <v>1015</v>
      </c>
      <c r="Q39" s="6" t="s">
        <v>2139</v>
      </c>
      <c r="R39" s="6" t="s">
        <v>1026</v>
      </c>
      <c r="S39" s="6" t="s">
        <v>2140</v>
      </c>
      <c r="T39" s="6" t="s">
        <v>1029</v>
      </c>
      <c r="U39" s="6" t="s">
        <v>2141</v>
      </c>
      <c r="V39" s="6" t="s">
        <v>1103</v>
      </c>
      <c r="W39" s="6" t="s">
        <v>2142</v>
      </c>
      <c r="X39" s="6" t="s">
        <v>2143</v>
      </c>
      <c r="Y39" s="6" t="s">
        <v>2144</v>
      </c>
      <c r="Z39" s="6" t="s">
        <v>1094</v>
      </c>
      <c r="AA39" s="6" t="s">
        <v>2145</v>
      </c>
      <c r="AB39" s="6" t="s">
        <v>1089</v>
      </c>
      <c r="AC39" s="6" t="s">
        <v>2146</v>
      </c>
      <c r="AD39" s="6" t="s">
        <v>1089</v>
      </c>
      <c r="AE39" s="6" t="s">
        <v>2147</v>
      </c>
      <c r="AF39" s="6" t="s">
        <v>1089</v>
      </c>
      <c r="AG39" s="6" t="s">
        <v>2148</v>
      </c>
      <c r="AH39" s="6" t="s">
        <v>1089</v>
      </c>
      <c r="AI39" s="6" t="s">
        <v>2149</v>
      </c>
      <c r="AJ39" s="6" t="s">
        <v>1103</v>
      </c>
      <c r="AK39" s="6" t="s">
        <v>2150</v>
      </c>
      <c r="AL39" s="6" t="s">
        <v>1021</v>
      </c>
      <c r="AM39" s="6" t="s">
        <v>2151</v>
      </c>
      <c r="AN39" s="6" t="s">
        <v>1026</v>
      </c>
      <c r="AO39" s="6" t="s">
        <v>2152</v>
      </c>
      <c r="AP39" s="6" t="s">
        <v>1026</v>
      </c>
      <c r="AQ39" s="6" t="s">
        <v>2153</v>
      </c>
      <c r="AR39" s="6" t="s">
        <v>854</v>
      </c>
      <c r="AS39" s="6" t="s">
        <v>2154</v>
      </c>
      <c r="AT39" s="6" t="s">
        <v>1041</v>
      </c>
      <c r="AU39" s="6" t="s">
        <v>2155</v>
      </c>
      <c r="AV39" s="6" t="s">
        <v>1041</v>
      </c>
      <c r="AW39" s="6" t="s">
        <v>2156</v>
      </c>
      <c r="AX39" s="6" t="s">
        <v>1021</v>
      </c>
      <c r="AY39" s="6" t="s">
        <v>2157</v>
      </c>
      <c r="AZ39" s="6" t="s">
        <v>1026</v>
      </c>
      <c r="BA39" s="6" t="s">
        <v>2158</v>
      </c>
      <c r="BB39" s="6" t="s">
        <v>1021</v>
      </c>
      <c r="BC39" s="6" t="s">
        <v>2159</v>
      </c>
    </row>
    <row r="40" spans="1:55" ht="12.75">
      <c r="A40" s="5">
        <v>37</v>
      </c>
      <c r="B40" s="6" t="s">
        <v>15</v>
      </c>
      <c r="C40" s="6" t="s">
        <v>15</v>
      </c>
      <c r="D40" s="6" t="s">
        <v>15</v>
      </c>
      <c r="E40" s="6" t="s">
        <v>15</v>
      </c>
      <c r="F40" s="6" t="s">
        <v>15</v>
      </c>
      <c r="G40" s="6" t="s">
        <v>15</v>
      </c>
      <c r="H40" s="6" t="s">
        <v>889</v>
      </c>
      <c r="I40" s="6" t="s">
        <v>2160</v>
      </c>
      <c r="J40" s="6" t="s">
        <v>889</v>
      </c>
      <c r="K40" s="6" t="s">
        <v>2161</v>
      </c>
      <c r="L40" s="6" t="s">
        <v>889</v>
      </c>
      <c r="M40" s="6" t="s">
        <v>2162</v>
      </c>
      <c r="N40" s="6" t="s">
        <v>1054</v>
      </c>
      <c r="O40" s="6" t="s">
        <v>2163</v>
      </c>
      <c r="P40" s="6" t="s">
        <v>1051</v>
      </c>
      <c r="Q40" s="6" t="s">
        <v>2164</v>
      </c>
      <c r="R40" s="6" t="s">
        <v>1054</v>
      </c>
      <c r="S40" s="6" t="s">
        <v>2165</v>
      </c>
      <c r="T40" s="6" t="s">
        <v>1150</v>
      </c>
      <c r="U40" s="6" t="s">
        <v>2166</v>
      </c>
      <c r="V40" s="6" t="s">
        <v>15</v>
      </c>
      <c r="W40" s="6" t="s">
        <v>15</v>
      </c>
      <c r="X40" s="6" t="s">
        <v>15</v>
      </c>
      <c r="Y40" s="6" t="s">
        <v>15</v>
      </c>
      <c r="Z40" s="6" t="s">
        <v>1126</v>
      </c>
      <c r="AA40" s="6" t="s">
        <v>2167</v>
      </c>
      <c r="AB40" s="6" t="s">
        <v>1126</v>
      </c>
      <c r="AC40" s="6" t="s">
        <v>2168</v>
      </c>
      <c r="AD40" s="6" t="s">
        <v>1126</v>
      </c>
      <c r="AE40" s="6" t="s">
        <v>2169</v>
      </c>
      <c r="AF40" s="6" t="s">
        <v>15</v>
      </c>
      <c r="AG40" s="6" t="s">
        <v>15</v>
      </c>
      <c r="AH40" s="6" t="s">
        <v>15</v>
      </c>
      <c r="AI40" s="6" t="s">
        <v>15</v>
      </c>
      <c r="AJ40" s="6" t="s">
        <v>15</v>
      </c>
      <c r="AK40" s="6" t="s">
        <v>15</v>
      </c>
      <c r="AL40" s="6" t="s">
        <v>1051</v>
      </c>
      <c r="AM40" s="6" t="s">
        <v>2170</v>
      </c>
      <c r="AN40" s="6" t="s">
        <v>2171</v>
      </c>
      <c r="AO40" s="6" t="s">
        <v>2172</v>
      </c>
      <c r="AP40" s="6" t="s">
        <v>2171</v>
      </c>
      <c r="AQ40" s="6" t="s">
        <v>2173</v>
      </c>
      <c r="AR40" s="6" t="s">
        <v>2174</v>
      </c>
      <c r="AS40" s="6" t="s">
        <v>2175</v>
      </c>
      <c r="AT40" s="6" t="s">
        <v>2176</v>
      </c>
      <c r="AU40" s="6" t="s">
        <v>2177</v>
      </c>
      <c r="AV40" s="6" t="s">
        <v>2178</v>
      </c>
      <c r="AW40" s="6" t="s">
        <v>2179</v>
      </c>
      <c r="AX40" s="6" t="s">
        <v>2171</v>
      </c>
      <c r="AY40" s="6" t="s">
        <v>2180</v>
      </c>
      <c r="AZ40" s="6" t="s">
        <v>1056</v>
      </c>
      <c r="BA40" s="6" t="s">
        <v>2181</v>
      </c>
      <c r="BB40" s="6" t="s">
        <v>1051</v>
      </c>
      <c r="BC40" s="6" t="s">
        <v>2182</v>
      </c>
    </row>
    <row r="41" spans="1:55" ht="12.75">
      <c r="A41" s="6" t="s">
        <v>610</v>
      </c>
      <c r="B41" s="10" t="s">
        <v>15</v>
      </c>
      <c r="C41" s="10" t="s">
        <v>15</v>
      </c>
      <c r="D41" s="10" t="s">
        <v>15</v>
      </c>
      <c r="E41" s="10" t="s">
        <v>15</v>
      </c>
      <c r="F41" s="10" t="s">
        <v>15</v>
      </c>
      <c r="G41" s="10" t="s">
        <v>15</v>
      </c>
      <c r="H41" s="10" t="s">
        <v>1160</v>
      </c>
      <c r="I41" s="10" t="s">
        <v>2183</v>
      </c>
      <c r="J41" s="10" t="s">
        <v>1160</v>
      </c>
      <c r="K41" s="10" t="s">
        <v>2184</v>
      </c>
      <c r="L41" s="10" t="s">
        <v>1160</v>
      </c>
      <c r="M41" s="10" t="s">
        <v>2185</v>
      </c>
      <c r="N41" s="10" t="s">
        <v>2171</v>
      </c>
      <c r="O41" s="10" t="s">
        <v>2186</v>
      </c>
      <c r="P41" s="10" t="s">
        <v>1051</v>
      </c>
      <c r="Q41" s="10" t="s">
        <v>2187</v>
      </c>
      <c r="R41" s="10" t="s">
        <v>2171</v>
      </c>
      <c r="S41" s="10" t="s">
        <v>2188</v>
      </c>
      <c r="T41" s="10" t="s">
        <v>15</v>
      </c>
      <c r="U41" s="10" t="s">
        <v>15</v>
      </c>
      <c r="V41" s="10" t="s">
        <v>15</v>
      </c>
      <c r="W41" s="10" t="s">
        <v>15</v>
      </c>
      <c r="X41" s="10" t="s">
        <v>15</v>
      </c>
      <c r="Y41" s="10" t="s">
        <v>15</v>
      </c>
      <c r="Z41" s="6" t="s">
        <v>1146</v>
      </c>
      <c r="AA41" s="6" t="s">
        <v>2189</v>
      </c>
      <c r="AB41" s="6" t="s">
        <v>1146</v>
      </c>
      <c r="AC41" s="6" t="s">
        <v>2190</v>
      </c>
      <c r="AD41" s="6" t="s">
        <v>1132</v>
      </c>
      <c r="AE41" s="6" t="s">
        <v>2191</v>
      </c>
      <c r="AF41" s="6" t="s">
        <v>15</v>
      </c>
      <c r="AG41" s="6" t="s">
        <v>15</v>
      </c>
      <c r="AH41" s="6" t="s">
        <v>15</v>
      </c>
      <c r="AI41" s="6" t="s">
        <v>15</v>
      </c>
      <c r="AJ41" s="6" t="s">
        <v>15</v>
      </c>
      <c r="AK41" s="6" t="s">
        <v>15</v>
      </c>
      <c r="AL41" s="6" t="s">
        <v>1150</v>
      </c>
      <c r="AM41" s="6" t="s">
        <v>2192</v>
      </c>
      <c r="AN41" s="6" t="s">
        <v>1054</v>
      </c>
      <c r="AO41" s="6" t="s">
        <v>2193</v>
      </c>
      <c r="AP41" s="6" t="s">
        <v>1124</v>
      </c>
      <c r="AQ41" s="6" t="s">
        <v>2194</v>
      </c>
      <c r="AR41" s="6" t="s">
        <v>2195</v>
      </c>
      <c r="AS41" s="6" t="s">
        <v>2196</v>
      </c>
      <c r="AT41" s="6" t="s">
        <v>2197</v>
      </c>
      <c r="AU41" s="6" t="s">
        <v>2198</v>
      </c>
      <c r="AV41" s="6" t="s">
        <v>2199</v>
      </c>
      <c r="AW41" s="6" t="s">
        <v>2200</v>
      </c>
      <c r="AX41" s="6" t="s">
        <v>2201</v>
      </c>
      <c r="AY41" s="6" t="s">
        <v>2202</v>
      </c>
      <c r="AZ41" s="6" t="s">
        <v>2201</v>
      </c>
      <c r="BA41" s="6" t="s">
        <v>2203</v>
      </c>
      <c r="BB41" s="6" t="s">
        <v>2204</v>
      </c>
      <c r="BC41" s="6" t="s">
        <v>2205</v>
      </c>
    </row>
  </sheetData>
  <mergeCells count="37">
    <mergeCell ref="BB2:BC2"/>
    <mergeCell ref="V2:W2"/>
    <mergeCell ref="X2:Y2"/>
    <mergeCell ref="AL2:AM2"/>
    <mergeCell ref="AN2:AO2"/>
    <mergeCell ref="AP2:AQ2"/>
    <mergeCell ref="AR2:AS2"/>
    <mergeCell ref="AT2:AU2"/>
    <mergeCell ref="AL1:AQ1"/>
    <mergeCell ref="AR1:AW1"/>
    <mergeCell ref="AX1:BC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AV2:AW2"/>
    <mergeCell ref="AX2:AY2"/>
    <mergeCell ref="AZ2:BA2"/>
    <mergeCell ref="AJ2:AK2"/>
    <mergeCell ref="A1:A3"/>
    <mergeCell ref="B1:G1"/>
    <mergeCell ref="H1:M1"/>
    <mergeCell ref="N1:S1"/>
    <mergeCell ref="T1:Y1"/>
    <mergeCell ref="Z1:AE1"/>
    <mergeCell ref="AF1:AK1"/>
    <mergeCell ref="Z2:AA2"/>
    <mergeCell ref="AB2:AC2"/>
    <mergeCell ref="AD2:AE2"/>
    <mergeCell ref="AF2:AG2"/>
    <mergeCell ref="AH2:A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Ortools</vt:lpstr>
      <vt:lpstr>Nguyên</vt:lpstr>
      <vt:lpstr>Nam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Dang Than The Son 202417024</cp:lastModifiedBy>
  <dcterms:modified xsi:type="dcterms:W3CDTF">2025-06-04T15:53:43Z</dcterms:modified>
</cp:coreProperties>
</file>